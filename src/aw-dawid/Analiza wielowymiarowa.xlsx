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xr:revisionPtr revIDLastSave="852" documentId="11_1CE57E2DD3C84F39559BD3B788AFFB502B3FCBC8" xr6:coauthVersionLast="47" xr6:coauthVersionMax="47" xr10:uidLastSave="{EEE6810C-F455-4117-9D65-9B0F608612B4}"/>
  <bookViews>
    <workbookView xWindow="0" yWindow="0" windowWidth="16384" windowHeight="8192" tabRatio="500" xr2:uid="{00000000-000D-0000-FFFF-FFFF00000000}"/>
  </bookViews>
  <sheets>
    <sheet name="dane zakodowane" sheetId="1" r:id="rId1"/>
    <sheet name="definicje zmiennych" sheetId="2" r:id="rId2"/>
    <sheet name="definicja" sheetId="3" r:id="rId3"/>
  </sheets>
  <definedNames>
    <definedName name="_xlnm._FilterDatabase" localSheetId="0" hidden="1">'dane zakodowane'!$AI$18:$AI$49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<sst xmlns="http://schemas.openxmlformats.org/spreadsheetml/2006/main" count="205" uniqueCount="147">
  <si>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</si>
  <si>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</si>
  <si>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</si>
  <si>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</si>
  <si>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</si>
  <si>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</si>
  <si>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</si>
  <si>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</si>
  <si>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</si>
  <si>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</si>
  <si>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</si>
  <si>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</si>
  <si>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</si>
  <si>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</si>
  <si>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</si>
  <si>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</si>
  <si>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</si>
  <si>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</si>
  <si>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</si>
  <si>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</si>
  <si>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</si>
  <si>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</si>
  <si>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</si>
  <si>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</si>
  <si>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</si>
  <si>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</si>
  <si>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</si>
  <si>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</si>
  <si>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</si>
  <si>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</si>
  <si>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</si>
  <si>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</si>
  <si>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</si>
  <si>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</si>
  <si>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</si>
  <si>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</si>
  <si>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</si>
  <si>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</si>
  <si>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</si>
  <si>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</si>
  <si>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</si>
  <si>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</si>
  <si>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</si>
  <si>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</si>
  <si>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</si>
  <si>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</si>
  <si>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</si>
  <si>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</si>
  <si>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</si>
  <si>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</si>
  <si>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</si>
  <si>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</si>
  <si>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</si>
  <si>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</si>
  <si>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</si>
  <si>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</si>
  <si>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</si>
  <si>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</si>
  <si>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</si>
  <si>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</si>
  <si>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</si>
  <si>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</si>
  <si>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</si>
  <si>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</si>
  <si>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</si>
  <si>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</si>
  <si>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</si>
  <si>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</si>
  <si>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</si>
  <si>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</si>
  <si>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</si>
  <si>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</si>
  <si>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</si>
  <si>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pkb na osobę w 2023 w zl</t>
  </si>
  <si>
    <t>zrodlo</t>
  </si>
  <si>
    <t>https://stat.gov.pl/obszary-tematyczne/rachunki-narodowe/rachunki-regionalne/</t>
  </si>
  <si>
    <t>podmioty wpisane do rejestru REGON na 10 tys. Ludności – 2024</t>
  </si>
  <si>
    <t>dochody budżetów województw na 1 mieszkanca w roku 2024.</t>
  </si>
  <si>
    <t>GOSPODARKA</t>
  </si>
  <si>
    <t>jednostki nowo zarejestrowane w rejestrze REGON w roku 2024 na 10 tys. Ludności</t>
  </si>
  <si>
    <t>INWESTYCJE</t>
  </si>
  <si>
    <t>Przeciętne miesięczne wynagrodzenia brutto w 2024</t>
  </si>
  <si>
    <t>INSRASTRUKTURA TRANSPORTOWA</t>
  </si>
  <si>
    <t>nakłady inwestycyjne w przedsiębiorstwach na 1 mieszkańca w 2024</t>
  </si>
  <si>
    <t>.</t>
  </si>
  <si>
    <t>ZASOBY LUDZKIE</t>
  </si>
  <si>
    <r>
      <t xml:space="preserve"> WYDATKI BUDŻETÓW GMIN I MIAST NA PRAWACH POWIATU na 1 mieszkanca</t>
    </r>
    <r>
      <rPr>
        <sz val="11"/>
        <color rgb="FF000000"/>
        <rFont val="Arial"/>
        <scheme val="minor"/>
      </rPr>
      <t xml:space="preserve"> w 2024</t>
    </r>
  </si>
  <si>
    <t>STAN MATERIALNY</t>
  </si>
  <si>
    <r>
      <t>Wydatki budzetów gmin I miast na prawach powiatu na kulturę I ochronę dziedzictwa narodowego na 1 mieszkanca</t>
    </r>
    <r>
      <rPr>
        <sz val="11"/>
        <color rgb="FF000000"/>
        <rFont val="Arial"/>
        <scheme val="minor"/>
      </rPr>
      <t xml:space="preserve"> w 2024</t>
    </r>
  </si>
  <si>
    <t>DEMOGRAFIA</t>
  </si>
  <si>
    <r>
      <t>Wydatki budzetów gmin I miast na prawach powiatu na oświatena 1 mieszkanca</t>
    </r>
    <r>
      <rPr>
        <sz val="11"/>
        <color rgb="FF000000"/>
        <rFont val="Arial"/>
        <scheme val="minor"/>
      </rPr>
      <t xml:space="preserve"> w 2024</t>
    </r>
  </si>
  <si>
    <t>OCHRONA ZDROWIA</t>
  </si>
  <si>
    <r>
      <t>wydatk</t>
    </r>
    <r>
      <rPr>
        <sz val="10"/>
        <color rgb="FF000000"/>
        <rFont val="Arial"/>
        <scheme val="minor"/>
      </rPr>
      <t xml:space="preserve">i budzetów gmin I miast na prawach powiatu </t>
    </r>
    <r>
      <rPr>
        <sz val="11"/>
        <color rgb="FF000000"/>
        <rFont val="Arial"/>
        <scheme val="minor"/>
      </rPr>
      <t>na Ochrona powietrza atmosferycznego i klimatu na 1 mieszkanca w 2024</t>
    </r>
  </si>
  <si>
    <t>KULTURA</t>
  </si>
  <si>
    <r>
      <t>wydatk</t>
    </r>
    <r>
      <rPr>
        <sz val="10"/>
        <color rgb="FF000000"/>
        <rFont val="Arial"/>
        <scheme val="minor"/>
      </rPr>
      <t xml:space="preserve">i inwestycyjne budzetów gmin I miast na prawach powiatu </t>
    </r>
    <r>
      <rPr>
        <sz val="11"/>
        <color rgb="FF000000"/>
        <rFont val="Arial"/>
        <scheme val="minor"/>
      </rPr>
      <t>na 1 mieszkanca w 2024</t>
    </r>
  </si>
  <si>
    <t>WARUNKI BYTOWE</t>
  </si>
  <si>
    <t>liczba rowerow publicznych na 1000 ludnosciu 2024</t>
  </si>
  <si>
    <t>TURYSTYKA</t>
  </si>
  <si>
    <t>drogi dla rowerow na 10,000 km2 2024</t>
  </si>
  <si>
    <t>EDUKACJA</t>
  </si>
  <si>
    <t>kilometry drog publiczncyh ogolem - liczba bezwgledna - 2024</t>
  </si>
  <si>
    <t>kilometry drog publiczncyh o nawierzchni twardej - liczba bezwgledna - 2024</t>
  </si>
  <si>
    <t>ogółem (przystanki autobusowe (z trolejbusowymi) i tramwajowe, przystanki wspólne dla tramwajów i autobusów) 2024</t>
  </si>
  <si>
    <t>długość linii komunikacji miejskiej na 1000 mieszkańców 2024</t>
  </si>
  <si>
    <t>przewozy pasażerskie na 1 mieszkańca 2024</t>
  </si>
  <si>
    <t>LINIE REGULARNEJ KOMUNIKACJI AUTOBUSOWEJ  w km w 2024</t>
  </si>
  <si>
    <t>samochody osobowe ogolem 2024</t>
  </si>
  <si>
    <t>linie kolejowe ogółem na 100 km2 w 2024</t>
  </si>
  <si>
    <t>wypadki drogowe ogolem 2024</t>
  </si>
  <si>
    <t>WSPÓŁCZYNNIK AKTYWNOŚCI ZAWODOWEJ OSÓB W WIEKU 15-89 LAT w 4 kwartale 2024</t>
  </si>
  <si>
    <t>odsetek ludnosci w wieku produkcyjnym - 2021 sp</t>
  </si>
  <si>
    <t>odsetek ludnosci z wyksztalceniem wyzszym. 2021 sp</t>
  </si>
  <si>
    <t>Współczynnik obciążenia demograficznego (liczba osób w wieku nieprodukcyjnym na 100 osób w wieku produkcyjnym - 2024</t>
  </si>
  <si>
    <t>Stopa % bezrobocia w grudniu 2024</t>
  </si>
  <si>
    <t xml:space="preserve"> BENEFICJENCI ŚRODOWISKOWEJ POMOCY SPOŁECZNEJ w %</t>
  </si>
  <si>
    <t>wskaznik urbanizacji 2021 - spis powszechny - ile osob % mieszka w miastach</t>
  </si>
  <si>
    <t>populacja - spis powszechny 2021</t>
  </si>
  <si>
    <t>gęstość zaludnienie (os / km2) - 2021 SP</t>
  </si>
  <si>
    <t>emigranci - 2021 sp - odsetek emigrantów w % względem ludnosci wojewodztwa - czasowy pobyt za granica</t>
  </si>
  <si>
    <t xml:space="preserve"> LUDNOŚĆ PRZYBYŁA DO MIEJSCOWOŚCI AKTUALNEGO ZAMIESZKANIA W LATACH 2011-2021  Z INNEGO MIEJSCA W KRAJU </t>
  </si>
  <si>
    <t>Przyrost naturalny na 1000 ludności. - 2024</t>
  </si>
  <si>
    <t>saldo migracji stałej na 1000 ludnosci - 2024</t>
  </si>
  <si>
    <t xml:space="preserve"> Lekarze pracujący bezpośrednio z pacjentem według województw w przeliczeniu na 10 tys. Mieszkańców – stan w dniu 31 grudnia 2023</t>
  </si>
  <si>
    <t>Lekarze dentyści pracujący bezpośrednio z pacjentem według województw – na 10 tys Mieszkańców – stan 31 grudnia 2023</t>
  </si>
  <si>
    <t xml:space="preserve"> Pielęgniarki pracujące bezpośrednio z pacjentem według województw na 10 tys mieszkańców – 31 grudnia 2023</t>
  </si>
  <si>
    <t>Położne na 10,000 kobiet 31 grudnia 2023</t>
  </si>
  <si>
    <t>łóżka na oddziałach kardiologicznych na 10 tys. ludności</t>
  </si>
  <si>
    <t>biblioteki publiczne na 10 000 ludności w 2024</t>
  </si>
  <si>
    <t>pozycje księgozbioru bibliotek publicznych na 1 000 ludności</t>
  </si>
  <si>
    <t>średnia liczba godzin otwarcia biblioteki publicznej po godz. 16.00 w 2024</t>
  </si>
  <si>
    <t>zajęcia prowadzone przez teatry i instytucje muzyczne, muzea oraz centra, domy, ośrodki kultury, kluby i świetlice na 1000 ludności w 2024</t>
  </si>
  <si>
    <t>uczestnicy imprez (wydarzeń kulturalnych) organizowanych przez teatry i instytucje muzyczne, muzea, galerie sztuki, kina oraz centra, ośrodki kultury, domy kultury, kluby i świetlice na 1 000 ludności w 2024</t>
  </si>
  <si>
    <t>Liczba mieszkań na 1000 mieszkańców w 2024 r</t>
  </si>
  <si>
    <r>
      <rPr>
        <sz val="10"/>
        <color rgb="FF000000"/>
        <rFont val="Arial"/>
        <scheme val="minor"/>
      </rPr>
      <t xml:space="preserve">Odsetek ludności w obiektach </t>
    </r>
    <r>
      <rPr>
        <sz val="10"/>
        <color rgb="FFFF0000"/>
        <rFont val="Arial"/>
        <scheme val="minor"/>
      </rPr>
      <t xml:space="preserve"> zbiorowego zakwaterowania</t>
    </r>
    <r>
      <rPr>
        <sz val="10"/>
        <color rgb="FF000000"/>
        <rFont val="Arial"/>
        <scheme val="minor"/>
      </rPr>
      <t xml:space="preserve"> 2021</t>
    </r>
  </si>
  <si>
    <t>liczba miejsc w domach studenckich w stosunku do liczby studentow 2024 - jaki odsetek studentow domy domy studenckie są w stanie pomieścić</t>
  </si>
  <si>
    <t>studenci korzystający z domów studenckich w % ogółu studentów 2024</t>
  </si>
  <si>
    <t>zasoby mieszkaniowe gim komunalne 2024</t>
  </si>
  <si>
    <t>miejsca noclegowe na 1000 ludnosci w 2024</t>
  </si>
  <si>
    <t>udzielone noclegi ogółem styczeń-grudzień na 10000 ludności w 2024</t>
  </si>
  <si>
    <t>zdawalnsoc egzaminow maturalnych - 2024</t>
  </si>
  <si>
    <t>dzieci w przedszkolach i innych formach wychowania przedszkolnego na 1 tys. dzieci w wieku 3-5 lat 2024</t>
  </si>
  <si>
    <t>liczba studentów przypadających na jednego nauczyciela akademickiego - 2024</t>
  </si>
  <si>
    <t>studencki uczelni na 10,000 ludnosci - 2024</t>
  </si>
  <si>
    <t>studenci w wojewodztwach. liczba calkowita. 2024</t>
  </si>
  <si>
    <t>analizy głównie bez procesu standaryzacji</t>
  </si>
  <si>
    <t>sprowadzić do podobnego rzędu -- ustandaryzować by uniknąć outlierów -- dwu/jednocyfrowe</t>
  </si>
  <si>
    <t>Definicja:
Zespół pomieszczeń (pokoi i pomieszczeń pomocniczych) zlokalizowanych w jednym lub kilku budynkach, zajętych przez jeden odrębny zakład świadczący usługi: hotelarskie, opiekuńczo-wychowawcze, zdrowotne bądź inne usługi, które są związane z zamieszkaniem w takim zakładzie większej liczby osób, lub obiekt instytucji wyznaniowej, w szczególności dom parafialny, klasztor, dom zgromadzenia sióstr zakonnych.
Dodatkowe wyjaśnienia metodologiczne:
W niektórych obiektach (zakładach) osoby zamieszkują przez dłuższy czas (od kilku miesięcy do kilku lat) lub na stałe. Przykładowo takimi zakładami są: internaty, domy studenckie, hotele pracownicze, domy dziecka, domy opieki społecznej dla osób przewlekle chorych lub upośledzonych, klasztory, domy zakonne. Obiektami (zakładami), w których pobyt osób z reguły ma charakter krótkookresowy są m. in.: hotele, motele, domy wczasowe, pensjonaty, a także szpitale, sanatoria, prewentoria.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</si>
</sst>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###0.0_-;\-* ####0.0_-;_-* \-_-;_-@_-"/>
    <numFmt numFmtId="165" formatCode="#,##0.0"/>
    <numFmt numFmtId="166" formatCode="0.0"/>
  </numFmts>
  <fonts count="19">
    <font>
      <sz val="10"/>
      <name val="Arial"/>
      <family val="2"/>
      <charset val="238"/>
    </font>
    <font>
      <sz val="11"/>
      <color rgb="FF000000"/>
      <name val="Calibri"/>
      <charset val="1"/>
    </font>
    <font>
      <sz val="11"/>
      <name val="Calibri"/>
      <charset val="1"/>
    </font>
    <font>
      <sz val="8"/>
      <name val="Fira Sans"/>
      <family val="2"/>
      <charset val="238"/>
    </font>
    <font>
      <b/>
      <sz val="10"/>
      <name val="Arial"/>
      <family val="2"/>
      <charset val="238"/>
    </font>
    <font>
      <sz val="11"/>
      <color rgb="FF000000"/>
      <name val="Calibri"/>
    </font>
    <font>
      <sz val="10"/>
      <name val="Calibri"/>
      <charset val="1"/>
    </font>
    <font>
      <sz val="10"/>
      <name val="Fira Sans"/>
      <charset val="1"/>
    </font>
    <font>
      <sz val="10"/>
      <name val="Czcionka Tekstu Podstawowego"/>
      <charset val="1"/>
    </font>
    <font>
      <b/>
      <sz val="10"/>
      <color rgb="FF000000"/>
      <name val="Arial"/>
    </font>
    <font>
      <sz val="10"/>
      <color rgb="FFFF0000"/>
      <name val="Arial"/>
    </font>
    <font>
      <sz val="10"/>
      <name val="Arial"/>
      <scheme val="minor"/>
    </font>
    <font>
      <sz val="11"/>
      <name val="Arial"/>
      <scheme val="minor"/>
    </font>
    <font>
      <sz val="9.5"/>
      <name val="Arial"/>
      <scheme val="minor"/>
    </font>
    <font>
      <sz val="10"/>
      <color theme="7" tint="0.39997558519241921"/>
      <name val="Arial"/>
      <scheme val="minor"/>
    </font>
    <font>
      <sz val="11"/>
      <color rgb="FF000000"/>
      <name val="Arial"/>
      <scheme val="minor"/>
    </font>
    <font>
      <b/>
      <sz val="10"/>
      <name val="Arial"/>
      <scheme val="minor"/>
    </font>
    <font>
      <sz val="10"/>
      <color rgb="FF000000"/>
      <name val="Arial"/>
      <scheme val="minor"/>
    </font>
    <font>
      <sz val="10"/>
      <color rgb="FFFF0000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D3D3"/>
        <bgColor rgb="FFC0C0C0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2" borderId="1">
      <alignment horizontal="left" vertical="center" wrapText="1"/>
    </xf>
  </cellStyleXfs>
  <cellXfs count="29">
    <xf numFmtId="0" fontId="0" fillId="0" borderId="0" xfId="0"/>
    <xf numFmtId="0" fontId="2" fillId="0" borderId="0" xfId="0" applyFont="1"/>
    <xf numFmtId="49" fontId="3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4" xfId="0" applyFont="1" applyBorder="1"/>
    <xf numFmtId="0" fontId="10" fillId="0" borderId="0" xfId="0" applyFont="1" applyAlignment="1">
      <alignment wrapText="1"/>
    </xf>
    <xf numFmtId="0" fontId="11" fillId="0" borderId="4" xfId="0" applyFont="1" applyBorder="1"/>
    <xf numFmtId="3" fontId="12" fillId="0" borderId="0" xfId="0" applyNumberFormat="1" applyFont="1"/>
    <xf numFmtId="4" fontId="12" fillId="0" borderId="0" xfId="0" applyNumberFormat="1" applyFont="1"/>
    <xf numFmtId="0" fontId="11" fillId="0" borderId="0" xfId="0" applyFont="1"/>
    <xf numFmtId="164" fontId="11" fillId="0" borderId="2" xfId="0" applyNumberFormat="1" applyFont="1" applyBorder="1" applyAlignment="1">
      <alignment horizontal="right"/>
    </xf>
    <xf numFmtId="165" fontId="12" fillId="0" borderId="0" xfId="0" applyNumberFormat="1" applyFont="1"/>
    <xf numFmtId="166" fontId="13" fillId="0" borderId="2" xfId="0" applyNumberFormat="1" applyFont="1" applyBorder="1"/>
    <xf numFmtId="0" fontId="14" fillId="0" borderId="0" xfId="0" applyFont="1"/>
    <xf numFmtId="166" fontId="13" fillId="0" borderId="3" xfId="0" applyNumberFormat="1" applyFont="1" applyBorder="1"/>
    <xf numFmtId="0" fontId="15" fillId="0" borderId="0" xfId="0" applyFont="1"/>
    <xf numFmtId="0" fontId="12" fillId="0" borderId="0" xfId="0" applyFont="1"/>
    <xf numFmtId="0" fontId="16" fillId="0" borderId="0" xfId="0" applyFont="1"/>
    <xf numFmtId="0" fontId="13" fillId="0" borderId="0" xfId="0" applyFont="1"/>
    <xf numFmtId="0" fontId="17" fillId="0" borderId="0" xfId="0" applyFont="1"/>
    <xf numFmtId="2" fontId="11" fillId="0" borderId="0" xfId="0" applyNumberFormat="1" applyFont="1"/>
    <xf numFmtId="0" fontId="8" fillId="0" borderId="0" xfId="0" applyFont="1"/>
    <xf numFmtId="0" fontId="7" fillId="0" borderId="0" xfId="0" applyFont="1"/>
    <xf numFmtId="0" fontId="9" fillId="0" borderId="0" xfId="0" applyFont="1"/>
    <xf numFmtId="2" fontId="4" fillId="0" borderId="0" xfId="0" applyNumberFormat="1" applyFont="1"/>
    <xf numFmtId="0" fontId="4" fillId="0" borderId="0" xfId="0" applyFont="1"/>
    <xf numFmtId="0" fontId="0" fillId="0" borderId="0" xfId="0" applyFill="1"/>
    <xf numFmtId="0" fontId="0" fillId="3" borderId="0" xfId="0" applyFill="1"/>
  </cellXfs>
  <cellStyles count="2">
    <cellStyle name="Kolumna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9"/>
  <sheetViews>
    <sheetView tabSelected="1" zoomScale="80" zoomScaleNormal="80" workbookViewId="0">
      <selection activeCell="AP30" sqref="AP30"/>
    </sheetView>
  </sheetViews>
  <sheetFormatPr defaultColWidth="11.5703125" defaultRowHeight="12.75" customHeight="1"/>
  <cols>
    <col min="35" max="35" width="12" bestFit="1" customWidth="1"/>
    <col min="41" max="42" width="12" bestFit="1" customWidth="1"/>
  </cols>
  <sheetData>
    <row r="1" spans="1:58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</row>
    <row r="2" spans="1:58" ht="15">
      <c r="A2" s="1" t="s">
        <v>57</v>
      </c>
      <c r="B2" s="8">
        <v>96997</v>
      </c>
      <c r="C2" s="8">
        <v>1589</v>
      </c>
      <c r="D2" s="9">
        <v>598.02</v>
      </c>
      <c r="E2" s="8">
        <v>7651</v>
      </c>
      <c r="F2" s="8">
        <v>112</v>
      </c>
      <c r="G2" s="10">
        <v>4.5999999999999996</v>
      </c>
      <c r="H2" s="9">
        <v>8867.4599999999991</v>
      </c>
      <c r="I2" s="11">
        <v>60</v>
      </c>
      <c r="J2" s="10">
        <v>2.2999999999999998</v>
      </c>
      <c r="K2" s="10">
        <v>463</v>
      </c>
      <c r="L2" s="10">
        <v>9518.94</v>
      </c>
      <c r="M2" s="9">
        <v>399.79</v>
      </c>
      <c r="N2" s="9">
        <v>3147.59</v>
      </c>
      <c r="O2" s="9">
        <v>17.77</v>
      </c>
      <c r="P2" s="9">
        <v>1637.75</v>
      </c>
      <c r="Q2" s="9">
        <v>29.87</v>
      </c>
      <c r="R2" s="8">
        <v>39160</v>
      </c>
      <c r="S2" s="12">
        <v>2</v>
      </c>
      <c r="T2" s="12">
        <v>2833.3</v>
      </c>
      <c r="U2" s="12">
        <v>4.5</v>
      </c>
      <c r="V2" s="8">
        <v>4</v>
      </c>
      <c r="W2" s="8">
        <v>1665</v>
      </c>
      <c r="X2" s="13">
        <v>39.200000000000003</v>
      </c>
      <c r="Y2" s="13">
        <v>10.7</v>
      </c>
      <c r="Z2" s="13">
        <v>55.7</v>
      </c>
      <c r="AA2" s="13">
        <v>12.2</v>
      </c>
      <c r="AB2" s="9">
        <v>1.83</v>
      </c>
      <c r="AC2" s="10">
        <v>964</v>
      </c>
      <c r="AD2" s="10">
        <v>68</v>
      </c>
      <c r="AE2" s="14">
        <v>2904894</v>
      </c>
      <c r="AF2" s="10">
        <v>145</v>
      </c>
      <c r="AG2" s="10">
        <v>59.5</v>
      </c>
      <c r="AH2" s="7">
        <v>25.3</v>
      </c>
      <c r="AI2" s="21">
        <v>4.1988106967070049</v>
      </c>
      <c r="AJ2" s="10">
        <v>12.7</v>
      </c>
      <c r="AK2" s="21">
        <v>0.84343869346007116</v>
      </c>
      <c r="AL2" s="10">
        <v>71.400000000000006</v>
      </c>
      <c r="AM2" s="10">
        <v>-4.96</v>
      </c>
      <c r="AN2" s="10">
        <v>1.4</v>
      </c>
      <c r="AO2" s="21">
        <v>14.412673879443586</v>
      </c>
      <c r="AP2" s="21">
        <v>6.848065303509264</v>
      </c>
      <c r="AQ2" s="10">
        <v>4.7</v>
      </c>
      <c r="AR2" s="10">
        <v>436</v>
      </c>
      <c r="AS2" s="14">
        <v>124955</v>
      </c>
      <c r="AT2" s="10">
        <v>82.6</v>
      </c>
      <c r="AU2" s="10">
        <v>0.94</v>
      </c>
      <c r="AV2" s="10">
        <v>727.1</v>
      </c>
      <c r="AW2" s="10">
        <v>24632.9</v>
      </c>
      <c r="AX2" s="10">
        <v>20968.400000000001</v>
      </c>
      <c r="AY2" s="10">
        <v>12638</v>
      </c>
      <c r="AZ2" s="10">
        <v>1.7</v>
      </c>
      <c r="BA2" s="10">
        <v>78.12</v>
      </c>
      <c r="BB2" s="10">
        <v>27361</v>
      </c>
      <c r="BC2" s="10">
        <v>9.1999999999999993</v>
      </c>
      <c r="BD2" s="10">
        <v>1789958</v>
      </c>
      <c r="BE2" s="10">
        <v>1883</v>
      </c>
      <c r="BF2" s="10">
        <v>92027</v>
      </c>
    </row>
    <row r="3" spans="1:58" ht="15">
      <c r="A3" s="1" t="s">
        <v>58</v>
      </c>
      <c r="B3" s="8">
        <v>72843</v>
      </c>
      <c r="C3" s="8">
        <v>1159</v>
      </c>
      <c r="D3" s="9">
        <v>451.11</v>
      </c>
      <c r="E3" s="8">
        <v>5351</v>
      </c>
      <c r="F3" s="8">
        <v>85</v>
      </c>
      <c r="G3" s="10">
        <v>7.3</v>
      </c>
      <c r="H3" s="9">
        <v>7710.78</v>
      </c>
      <c r="I3" s="11">
        <v>59.2</v>
      </c>
      <c r="J3" s="10">
        <v>4.5999999999999996</v>
      </c>
      <c r="K3" s="10">
        <v>413</v>
      </c>
      <c r="L3" s="10">
        <v>8891.49</v>
      </c>
      <c r="M3" s="9">
        <v>310.76</v>
      </c>
      <c r="N3" s="9">
        <v>3101.1</v>
      </c>
      <c r="O3" s="9">
        <v>22.59</v>
      </c>
      <c r="P3" s="9">
        <v>1559.66</v>
      </c>
      <c r="Q3" s="9">
        <v>16.53</v>
      </c>
      <c r="R3" s="8">
        <v>23742</v>
      </c>
      <c r="S3" s="12">
        <v>1.9</v>
      </c>
      <c r="T3" s="12">
        <v>3430.9</v>
      </c>
      <c r="U3" s="12">
        <v>3.4</v>
      </c>
      <c r="V3" s="8">
        <v>4</v>
      </c>
      <c r="W3" s="8">
        <v>1285</v>
      </c>
      <c r="X3" s="13">
        <v>31.5</v>
      </c>
      <c r="Y3" s="13">
        <v>6.4</v>
      </c>
      <c r="Z3" s="13">
        <v>55.1</v>
      </c>
      <c r="AA3" s="13">
        <v>13.7</v>
      </c>
      <c r="AB3" s="9">
        <v>2.99</v>
      </c>
      <c r="AC3" s="10">
        <v>903</v>
      </c>
      <c r="AD3" s="10">
        <v>58.5</v>
      </c>
      <c r="AE3" s="14">
        <v>2027261</v>
      </c>
      <c r="AF3" s="10">
        <v>112</v>
      </c>
      <c r="AG3" s="10">
        <v>59.3</v>
      </c>
      <c r="AH3" s="7">
        <v>20.3</v>
      </c>
      <c r="AI3" s="21">
        <v>3.9379241252113077</v>
      </c>
      <c r="AJ3" s="10">
        <v>10.8</v>
      </c>
      <c r="AK3" s="21">
        <v>0.68072142659479962</v>
      </c>
      <c r="AL3" s="10">
        <v>72.099999999999994</v>
      </c>
      <c r="AM3" s="10">
        <v>-4.9400000000000004</v>
      </c>
      <c r="AN3" s="10">
        <v>-0.9</v>
      </c>
      <c r="AO3" s="21">
        <v>13.475914213704883</v>
      </c>
      <c r="AP3" s="21">
        <v>7.9873670095453182</v>
      </c>
      <c r="AQ3" s="10">
        <v>6.7</v>
      </c>
      <c r="AR3" s="10">
        <v>286</v>
      </c>
      <c r="AS3" s="14">
        <v>56677</v>
      </c>
      <c r="AT3" s="10">
        <v>82.8</v>
      </c>
      <c r="AU3" s="10">
        <v>0.42</v>
      </c>
      <c r="AV3" s="10">
        <v>961.2</v>
      </c>
      <c r="AW3" s="10">
        <v>27711.9</v>
      </c>
      <c r="AX3" s="10">
        <v>20550.8</v>
      </c>
      <c r="AY3" s="10">
        <v>12312</v>
      </c>
      <c r="AZ3" s="10">
        <v>1.1000000000000001</v>
      </c>
      <c r="BA3" s="10">
        <v>81.790000000000006</v>
      </c>
      <c r="BB3" s="10">
        <v>30780</v>
      </c>
      <c r="BC3" s="10">
        <v>6.7</v>
      </c>
      <c r="BD3" s="10">
        <v>1177206</v>
      </c>
      <c r="BE3" s="10">
        <v>788</v>
      </c>
      <c r="BF3" s="10">
        <v>38307</v>
      </c>
    </row>
    <row r="4" spans="1:58" ht="15">
      <c r="A4" s="1" t="s">
        <v>59</v>
      </c>
      <c r="B4" s="8">
        <v>62534</v>
      </c>
      <c r="C4" s="8">
        <v>1084</v>
      </c>
      <c r="D4" s="9">
        <v>340.55</v>
      </c>
      <c r="E4" s="8">
        <v>3706</v>
      </c>
      <c r="F4" s="8">
        <v>76</v>
      </c>
      <c r="G4" s="10">
        <v>7.4</v>
      </c>
      <c r="H4" s="9">
        <v>7771.05</v>
      </c>
      <c r="I4" s="11">
        <v>56.7</v>
      </c>
      <c r="J4" s="10">
        <v>3.5</v>
      </c>
      <c r="K4" s="10">
        <v>413</v>
      </c>
      <c r="L4" s="10">
        <v>8459.0400000000009</v>
      </c>
      <c r="M4" s="9">
        <v>318.47000000000003</v>
      </c>
      <c r="N4" s="9">
        <v>3193.55</v>
      </c>
      <c r="O4" s="9">
        <v>22.44</v>
      </c>
      <c r="P4" s="9">
        <v>1819.42</v>
      </c>
      <c r="Q4" s="9">
        <v>13.52</v>
      </c>
      <c r="R4" s="8">
        <v>11892</v>
      </c>
      <c r="S4" s="12">
        <v>2.8</v>
      </c>
      <c r="T4" s="12">
        <v>3289.6</v>
      </c>
      <c r="U4" s="12">
        <v>2.9</v>
      </c>
      <c r="V4" s="8">
        <v>2</v>
      </c>
      <c r="W4" s="8">
        <v>1589</v>
      </c>
      <c r="X4" s="13">
        <v>38.9</v>
      </c>
      <c r="Y4" s="13">
        <v>10.6</v>
      </c>
      <c r="Z4" s="13">
        <v>68.400000000000006</v>
      </c>
      <c r="AA4" s="13">
        <v>16.7</v>
      </c>
      <c r="AB4" s="9">
        <v>2.27</v>
      </c>
      <c r="AC4" s="10">
        <v>933</v>
      </c>
      <c r="AD4" s="10">
        <v>46.3</v>
      </c>
      <c r="AE4" s="14">
        <v>2052340</v>
      </c>
      <c r="AF4" s="10">
        <v>81</v>
      </c>
      <c r="AG4" s="10">
        <v>58.6</v>
      </c>
      <c r="AH4" s="7">
        <v>23.4</v>
      </c>
      <c r="AI4" s="21">
        <v>4.51903680676691</v>
      </c>
      <c r="AJ4" s="10">
        <v>9.9</v>
      </c>
      <c r="AK4" s="21">
        <v>0.71664539014003525</v>
      </c>
      <c r="AL4" s="10">
        <v>73.599999999999994</v>
      </c>
      <c r="AM4" s="10">
        <v>-4.91</v>
      </c>
      <c r="AN4" s="10">
        <v>-2.4</v>
      </c>
      <c r="AO4" s="21">
        <v>10.674600022243052</v>
      </c>
      <c r="AP4" s="21">
        <v>10.927709229464034</v>
      </c>
      <c r="AQ4" s="10">
        <v>6.8</v>
      </c>
      <c r="AR4" s="10">
        <v>337</v>
      </c>
      <c r="AS4" s="14">
        <v>67187</v>
      </c>
      <c r="AT4" s="10">
        <v>83.1</v>
      </c>
      <c r="AU4" s="10">
        <v>0.44</v>
      </c>
      <c r="AV4" s="10">
        <v>521.20000000000005</v>
      </c>
      <c r="AW4" s="10">
        <v>37073.199999999997</v>
      </c>
      <c r="AX4" s="10">
        <v>24530.2</v>
      </c>
      <c r="AY4" s="10">
        <v>13319</v>
      </c>
      <c r="AZ4" s="10">
        <v>1.4</v>
      </c>
      <c r="BA4" s="10">
        <v>60.22</v>
      </c>
      <c r="BB4" s="10">
        <v>23473</v>
      </c>
      <c r="BC4" s="10">
        <v>4.4000000000000004</v>
      </c>
      <c r="BD4" s="10">
        <v>1242886</v>
      </c>
      <c r="BE4" s="10">
        <v>845</v>
      </c>
      <c r="BF4" s="10">
        <v>19658</v>
      </c>
    </row>
    <row r="5" spans="1:58" ht="15">
      <c r="A5" s="1" t="s">
        <v>60</v>
      </c>
      <c r="B5" s="8">
        <v>72438</v>
      </c>
      <c r="C5" s="8">
        <v>1386</v>
      </c>
      <c r="D5" s="9">
        <v>472.11</v>
      </c>
      <c r="E5" s="8">
        <v>6013</v>
      </c>
      <c r="F5" s="8">
        <v>102</v>
      </c>
      <c r="G5" s="10">
        <v>4.5</v>
      </c>
      <c r="H5" s="9">
        <v>7887.19</v>
      </c>
      <c r="I5" s="11">
        <v>56.6</v>
      </c>
      <c r="J5" s="10">
        <v>3.4</v>
      </c>
      <c r="K5" s="10">
        <v>425</v>
      </c>
      <c r="L5" s="10">
        <v>8923.2000000000007</v>
      </c>
      <c r="M5" s="9">
        <v>330.59</v>
      </c>
      <c r="N5" s="9">
        <v>3110.36</v>
      </c>
      <c r="O5" s="9">
        <v>8.8000000000000007</v>
      </c>
      <c r="P5" s="9">
        <v>1753.55</v>
      </c>
      <c r="Q5" s="9">
        <v>18.440000000000001</v>
      </c>
      <c r="R5" s="8">
        <v>15088</v>
      </c>
      <c r="S5" s="12">
        <v>2.4</v>
      </c>
      <c r="T5" s="12">
        <v>3923</v>
      </c>
      <c r="U5" s="12">
        <v>4.4000000000000004</v>
      </c>
      <c r="V5" s="8">
        <v>3</v>
      </c>
      <c r="W5" s="8">
        <v>2470</v>
      </c>
      <c r="X5" s="13">
        <v>25</v>
      </c>
      <c r="Y5" s="13">
        <v>7.9</v>
      </c>
      <c r="Z5" s="13">
        <v>47</v>
      </c>
      <c r="AA5" s="13">
        <v>10.7</v>
      </c>
      <c r="AB5" s="9">
        <v>1.39</v>
      </c>
      <c r="AC5" s="10">
        <v>955</v>
      </c>
      <c r="AD5" s="10">
        <v>64.599999999999994</v>
      </c>
      <c r="AE5" s="14">
        <v>991213</v>
      </c>
      <c r="AF5" s="10">
        <v>71</v>
      </c>
      <c r="AG5" s="10">
        <v>59</v>
      </c>
      <c r="AH5" s="7">
        <v>20</v>
      </c>
      <c r="AI5" s="21">
        <v>4.362735355569388</v>
      </c>
      <c r="AJ5" s="10">
        <v>10.9</v>
      </c>
      <c r="AK5" s="21">
        <v>0.78358536459872896</v>
      </c>
      <c r="AL5" s="10">
        <v>72.3</v>
      </c>
      <c r="AM5" s="10">
        <v>-4.95</v>
      </c>
      <c r="AN5" s="10">
        <v>-0.8</v>
      </c>
      <c r="AO5" s="21">
        <v>9.4729169863434084</v>
      </c>
      <c r="AP5" s="21">
        <v>12.764234226937718</v>
      </c>
      <c r="AQ5" s="10">
        <v>9</v>
      </c>
      <c r="AR5" s="10">
        <v>127</v>
      </c>
      <c r="AS5" s="14">
        <v>12347</v>
      </c>
      <c r="AT5" s="10">
        <v>83.1</v>
      </c>
      <c r="AU5" s="10">
        <v>0.42</v>
      </c>
      <c r="AV5" s="10">
        <v>656.9</v>
      </c>
      <c r="AW5" s="10">
        <v>14896.1</v>
      </c>
      <c r="AX5" s="10">
        <v>8909.2999999999993</v>
      </c>
      <c r="AY5" s="10">
        <v>3811</v>
      </c>
      <c r="AZ5" s="10">
        <v>1.9</v>
      </c>
      <c r="BA5" s="10">
        <v>45.36</v>
      </c>
      <c r="BB5" s="10">
        <v>15175</v>
      </c>
      <c r="BC5" s="10">
        <v>6.5</v>
      </c>
      <c r="BD5" s="10">
        <v>646928</v>
      </c>
      <c r="BE5" s="10">
        <v>462</v>
      </c>
      <c r="BF5" s="10">
        <v>22775</v>
      </c>
    </row>
    <row r="6" spans="1:58" ht="15">
      <c r="A6" s="1" t="s">
        <v>61</v>
      </c>
      <c r="B6" s="8">
        <v>86151</v>
      </c>
      <c r="C6" s="8">
        <v>1236</v>
      </c>
      <c r="D6" s="9">
        <v>487.43</v>
      </c>
      <c r="E6" s="8">
        <v>5286</v>
      </c>
      <c r="F6" s="8">
        <v>85</v>
      </c>
      <c r="G6" s="10">
        <v>5.4</v>
      </c>
      <c r="H6" s="9">
        <v>8096.32</v>
      </c>
      <c r="I6" s="11">
        <v>56.1</v>
      </c>
      <c r="J6" s="10">
        <v>3.1</v>
      </c>
      <c r="K6" s="10">
        <v>461</v>
      </c>
      <c r="L6" s="10">
        <v>9046.44</v>
      </c>
      <c r="M6" s="9">
        <v>319.74</v>
      </c>
      <c r="N6" s="9">
        <v>2940.9</v>
      </c>
      <c r="O6" s="9">
        <v>20.72</v>
      </c>
      <c r="P6" s="9">
        <v>1754.42</v>
      </c>
      <c r="Q6" s="9">
        <v>9.9499999999999993</v>
      </c>
      <c r="R6" s="8">
        <v>10905</v>
      </c>
      <c r="S6" s="12">
        <v>1.9</v>
      </c>
      <c r="T6" s="12">
        <v>3312.6</v>
      </c>
      <c r="U6" s="12">
        <v>4.9000000000000004</v>
      </c>
      <c r="V6" s="8">
        <v>3</v>
      </c>
      <c r="W6" s="8">
        <v>1027</v>
      </c>
      <c r="X6" s="13">
        <v>43.1</v>
      </c>
      <c r="Y6" s="13">
        <v>11.6</v>
      </c>
      <c r="Z6" s="13">
        <v>55.5</v>
      </c>
      <c r="AA6" s="13">
        <v>16.7</v>
      </c>
      <c r="AB6" s="9">
        <v>2.7</v>
      </c>
      <c r="AC6" s="10">
        <v>961</v>
      </c>
      <c r="AD6" s="10">
        <v>62.1</v>
      </c>
      <c r="AE6" s="14">
        <v>2410286</v>
      </c>
      <c r="AF6" s="10">
        <v>132</v>
      </c>
      <c r="AG6" s="10">
        <v>57.9</v>
      </c>
      <c r="AH6" s="7">
        <v>23</v>
      </c>
      <c r="AI6" s="21">
        <v>2.5842161469634721</v>
      </c>
      <c r="AJ6" s="10">
        <v>9.3000000000000007</v>
      </c>
      <c r="AK6" s="21">
        <v>0.85471184747370232</v>
      </c>
      <c r="AL6" s="10">
        <v>76</v>
      </c>
      <c r="AM6" s="10">
        <v>-6.45</v>
      </c>
      <c r="AN6" s="10">
        <v>-0.6</v>
      </c>
      <c r="AO6" s="21">
        <v>11.298931508198336</v>
      </c>
      <c r="AP6" s="21">
        <v>10.775555265031013</v>
      </c>
      <c r="AQ6" s="10">
        <v>7.8</v>
      </c>
      <c r="AR6" s="10">
        <v>293</v>
      </c>
      <c r="AS6" s="14">
        <v>68841</v>
      </c>
      <c r="AT6" s="10">
        <v>83.4</v>
      </c>
      <c r="AU6" s="10">
        <v>0.96</v>
      </c>
      <c r="AV6" s="10">
        <v>699.5</v>
      </c>
      <c r="AW6" s="10">
        <v>25482.799999999999</v>
      </c>
      <c r="AX6" s="10">
        <v>21494.799999999999</v>
      </c>
      <c r="AY6" s="10">
        <v>13240</v>
      </c>
      <c r="AZ6" s="10">
        <v>1.5</v>
      </c>
      <c r="BA6" s="10">
        <v>86.44</v>
      </c>
      <c r="BB6" s="10">
        <v>28532</v>
      </c>
      <c r="BC6" s="10">
        <v>6</v>
      </c>
      <c r="BD6" s="10">
        <v>1462646</v>
      </c>
      <c r="BE6" s="10">
        <v>2234</v>
      </c>
      <c r="BF6" s="10">
        <v>68281</v>
      </c>
    </row>
    <row r="7" spans="1:58" ht="15">
      <c r="A7" s="1" t="s">
        <v>62</v>
      </c>
      <c r="B7" s="8">
        <v>80976</v>
      </c>
      <c r="C7" s="8">
        <v>1456</v>
      </c>
      <c r="D7" s="9">
        <v>540.98</v>
      </c>
      <c r="E7" s="8">
        <v>4945</v>
      </c>
      <c r="F7" s="8">
        <v>109</v>
      </c>
      <c r="G7" s="10">
        <v>4.0999999999999996</v>
      </c>
      <c r="H7" s="9">
        <v>8818.7099999999991</v>
      </c>
      <c r="I7" s="11">
        <v>59.3</v>
      </c>
      <c r="J7" s="10">
        <v>2.7</v>
      </c>
      <c r="K7" s="10">
        <v>398</v>
      </c>
      <c r="L7" s="10">
        <v>8723.18</v>
      </c>
      <c r="M7" s="9">
        <v>346.86</v>
      </c>
      <c r="N7" s="9">
        <v>3323.19</v>
      </c>
      <c r="O7" s="9">
        <v>32.51</v>
      </c>
      <c r="P7" s="9">
        <v>1425.3</v>
      </c>
      <c r="Q7" s="9">
        <v>30.18</v>
      </c>
      <c r="R7" s="8">
        <v>45212</v>
      </c>
      <c r="S7" s="12">
        <v>2.1</v>
      </c>
      <c r="T7" s="12">
        <v>3337.4</v>
      </c>
      <c r="U7" s="12">
        <v>4.5999999999999996</v>
      </c>
      <c r="V7" s="8">
        <v>7</v>
      </c>
      <c r="W7" s="8">
        <v>2081</v>
      </c>
      <c r="X7" s="13">
        <v>37.1</v>
      </c>
      <c r="Y7" s="13">
        <v>9.8000000000000007</v>
      </c>
      <c r="Z7" s="13">
        <v>57.1</v>
      </c>
      <c r="AA7" s="13">
        <v>14.8</v>
      </c>
      <c r="AB7" s="9">
        <v>2.16</v>
      </c>
      <c r="AC7" s="10">
        <v>954</v>
      </c>
      <c r="AD7" s="10">
        <v>48</v>
      </c>
      <c r="AE7" s="14">
        <v>3432295</v>
      </c>
      <c r="AF7" s="10">
        <v>226</v>
      </c>
      <c r="AG7" s="10">
        <v>60.2</v>
      </c>
      <c r="AH7" s="7">
        <v>25.6</v>
      </c>
      <c r="AI7" s="21">
        <v>4.1760396469417689</v>
      </c>
      <c r="AJ7" s="10">
        <v>10.7</v>
      </c>
      <c r="AK7" s="21">
        <v>0.94971440391924344</v>
      </c>
      <c r="AL7" s="10">
        <v>68.900000000000006</v>
      </c>
      <c r="AM7" s="10">
        <v>-1.82</v>
      </c>
      <c r="AN7" s="10">
        <v>1.7</v>
      </c>
      <c r="AO7" s="21">
        <v>11.915542441710141</v>
      </c>
      <c r="AP7" s="21">
        <v>11.593814419830618</v>
      </c>
      <c r="AQ7" s="10">
        <v>9.6999999999999993</v>
      </c>
      <c r="AR7" s="10">
        <v>457</v>
      </c>
      <c r="AS7" s="14">
        <v>156687</v>
      </c>
      <c r="AT7" s="10">
        <v>87</v>
      </c>
      <c r="AU7" s="10">
        <v>0.39</v>
      </c>
      <c r="AV7" s="10">
        <v>892.7</v>
      </c>
      <c r="AW7" s="10">
        <v>31838.9</v>
      </c>
      <c r="AX7" s="10">
        <v>26456.6</v>
      </c>
      <c r="AY7" s="10">
        <v>17635</v>
      </c>
      <c r="AZ7" s="10">
        <v>1.7</v>
      </c>
      <c r="BA7" s="10">
        <v>118.01</v>
      </c>
      <c r="BB7" s="10">
        <v>8848</v>
      </c>
      <c r="BC7" s="10">
        <v>7.1</v>
      </c>
      <c r="BD7" s="10">
        <v>1952594</v>
      </c>
      <c r="BE7" s="10">
        <v>2474</v>
      </c>
      <c r="BF7" s="10">
        <v>30064</v>
      </c>
    </row>
    <row r="8" spans="1:58" ht="15">
      <c r="A8" s="1" t="s">
        <v>63</v>
      </c>
      <c r="B8" s="8">
        <v>142761</v>
      </c>
      <c r="C8" s="8">
        <v>1911</v>
      </c>
      <c r="D8" s="9">
        <v>1077.07</v>
      </c>
      <c r="E8" s="8">
        <v>13687</v>
      </c>
      <c r="F8" s="8">
        <v>144</v>
      </c>
      <c r="G8" s="10">
        <v>4</v>
      </c>
      <c r="H8" s="9">
        <v>10018.709999999999</v>
      </c>
      <c r="I8" s="11">
        <v>63.3</v>
      </c>
      <c r="J8" s="10">
        <v>2.5</v>
      </c>
      <c r="K8" s="10">
        <v>464.8</v>
      </c>
      <c r="L8" s="10">
        <v>10843.21</v>
      </c>
      <c r="M8" s="9">
        <v>393.91</v>
      </c>
      <c r="N8" s="9">
        <v>3819.62</v>
      </c>
      <c r="O8" s="9">
        <v>18.489999999999998</v>
      </c>
      <c r="P8" s="9">
        <v>1713.91</v>
      </c>
      <c r="Q8" s="9">
        <v>13.09</v>
      </c>
      <c r="R8" s="8">
        <v>20224</v>
      </c>
      <c r="S8" s="12">
        <v>1.7</v>
      </c>
      <c r="T8" s="12">
        <v>3191.5</v>
      </c>
      <c r="U8" s="12">
        <v>5.7</v>
      </c>
      <c r="V8" s="8">
        <v>7</v>
      </c>
      <c r="W8" s="8">
        <v>1680</v>
      </c>
      <c r="X8" s="13">
        <v>52.2</v>
      </c>
      <c r="Y8" s="13">
        <v>12.2</v>
      </c>
      <c r="Z8" s="13">
        <v>63.6</v>
      </c>
      <c r="AA8" s="13">
        <v>16.3</v>
      </c>
      <c r="AB8" s="9">
        <v>2.79</v>
      </c>
      <c r="AC8" s="10">
        <v>982</v>
      </c>
      <c r="AD8" s="10">
        <v>64.7</v>
      </c>
      <c r="AE8" s="14">
        <v>5514699</v>
      </c>
      <c r="AF8" s="10">
        <v>155</v>
      </c>
      <c r="AG8" s="10">
        <v>59.1</v>
      </c>
      <c r="AH8" s="7">
        <v>32.4</v>
      </c>
      <c r="AI8" s="21">
        <v>2.2331409202932018</v>
      </c>
      <c r="AJ8" s="10">
        <v>13.2</v>
      </c>
      <c r="AK8" s="21">
        <v>0.95622626003703926</v>
      </c>
      <c r="AL8" s="10">
        <v>70.8</v>
      </c>
      <c r="AM8" s="10">
        <v>-2.78</v>
      </c>
      <c r="AN8" s="10">
        <v>2.5</v>
      </c>
      <c r="AO8" s="21">
        <v>15.608251387133988</v>
      </c>
      <c r="AP8" s="21">
        <v>5.8247130583527209</v>
      </c>
      <c r="AQ8" s="10">
        <v>4.5999999999999996</v>
      </c>
      <c r="AR8" s="10">
        <v>516</v>
      </c>
      <c r="AS8" s="14">
        <v>284117</v>
      </c>
      <c r="AT8" s="10">
        <v>85.5</v>
      </c>
      <c r="AU8" s="10">
        <v>0.81</v>
      </c>
      <c r="AV8" s="10">
        <v>903</v>
      </c>
      <c r="AW8" s="10">
        <v>56326.3</v>
      </c>
      <c r="AX8" s="10">
        <v>41864.800000000003</v>
      </c>
      <c r="AY8" s="10">
        <v>24985</v>
      </c>
      <c r="AZ8" s="10">
        <v>1.1000000000000001</v>
      </c>
      <c r="BA8" s="10">
        <v>153.68</v>
      </c>
      <c r="BB8" s="10">
        <v>70180</v>
      </c>
      <c r="BC8" s="10">
        <v>5</v>
      </c>
      <c r="BD8" s="10">
        <v>3713473</v>
      </c>
      <c r="BE8" s="10">
        <v>2866</v>
      </c>
      <c r="BF8" s="10">
        <v>120290</v>
      </c>
    </row>
    <row r="9" spans="1:58" ht="15">
      <c r="A9" s="1" t="s">
        <v>64</v>
      </c>
      <c r="B9" s="8">
        <v>72963</v>
      </c>
      <c r="C9" s="8">
        <v>1232</v>
      </c>
      <c r="D9" s="9">
        <v>469.91</v>
      </c>
      <c r="E9" s="8">
        <v>7197</v>
      </c>
      <c r="F9" s="8">
        <v>71</v>
      </c>
      <c r="G9" s="10">
        <v>5.9</v>
      </c>
      <c r="H9" s="9">
        <v>7958.35</v>
      </c>
      <c r="I9" s="11">
        <v>59.5</v>
      </c>
      <c r="J9" s="10">
        <v>2.9</v>
      </c>
      <c r="K9" s="10">
        <v>398</v>
      </c>
      <c r="L9" s="10">
        <v>8618.2900000000009</v>
      </c>
      <c r="M9" s="9">
        <v>337.92</v>
      </c>
      <c r="N9" s="9">
        <v>3039.54</v>
      </c>
      <c r="O9" s="9">
        <v>14.94</v>
      </c>
      <c r="P9" s="9">
        <v>1417.39</v>
      </c>
      <c r="Q9" s="9">
        <v>8.4600000000000009</v>
      </c>
      <c r="R9" s="8">
        <v>8273</v>
      </c>
      <c r="S9" s="12">
        <v>3.2</v>
      </c>
      <c r="T9" s="12">
        <v>3935</v>
      </c>
      <c r="U9" s="12">
        <v>5</v>
      </c>
      <c r="V9" s="8">
        <v>3</v>
      </c>
      <c r="W9" s="8">
        <v>958</v>
      </c>
      <c r="X9" s="13">
        <v>25.7</v>
      </c>
      <c r="Y9" s="13">
        <v>7.2</v>
      </c>
      <c r="Z9" s="13">
        <v>55.4</v>
      </c>
      <c r="AA9" s="13">
        <v>12.9</v>
      </c>
      <c r="AB9" s="9">
        <v>2.72</v>
      </c>
      <c r="AC9" s="10">
        <v>980</v>
      </c>
      <c r="AD9" s="10">
        <v>53.2</v>
      </c>
      <c r="AE9" s="14">
        <v>954133</v>
      </c>
      <c r="AF9" s="10">
        <v>101</v>
      </c>
      <c r="AG9" s="10">
        <v>60.3</v>
      </c>
      <c r="AH9" s="7">
        <v>20.7</v>
      </c>
      <c r="AI9" s="21">
        <v>5.7863002327767719</v>
      </c>
      <c r="AJ9" s="10">
        <v>9.9</v>
      </c>
      <c r="AK9" s="21">
        <v>1.0219749238313738</v>
      </c>
      <c r="AL9" s="10">
        <v>70.5</v>
      </c>
      <c r="AM9" s="10">
        <v>-5.73</v>
      </c>
      <c r="AN9" s="10">
        <v>-1.2</v>
      </c>
      <c r="AO9" s="21">
        <v>13.967230034834214</v>
      </c>
      <c r="AP9" s="21">
        <v>11.911139848512839</v>
      </c>
      <c r="AQ9" s="10">
        <v>10.6</v>
      </c>
      <c r="AR9" s="10">
        <v>233</v>
      </c>
      <c r="AS9" s="14">
        <v>21652</v>
      </c>
      <c r="AT9" s="10">
        <v>81</v>
      </c>
      <c r="AU9" s="10">
        <v>0.08</v>
      </c>
      <c r="AV9" s="10">
        <v>730.1</v>
      </c>
      <c r="AW9" s="10">
        <v>10409.5</v>
      </c>
      <c r="AX9" s="10">
        <v>8636</v>
      </c>
      <c r="AY9" s="10">
        <v>4786</v>
      </c>
      <c r="AZ9" s="10">
        <v>0.9</v>
      </c>
      <c r="BA9" s="10">
        <v>29.91</v>
      </c>
      <c r="BB9" s="10">
        <v>13845</v>
      </c>
      <c r="BC9" s="10">
        <v>8.3000000000000007</v>
      </c>
      <c r="BD9" s="10">
        <v>582189</v>
      </c>
      <c r="BE9" s="10">
        <v>494</v>
      </c>
      <c r="BF9" s="10">
        <v>19570</v>
      </c>
    </row>
    <row r="10" spans="1:58" ht="15">
      <c r="A10" s="1" t="s">
        <v>65</v>
      </c>
      <c r="B10" s="8">
        <v>64987</v>
      </c>
      <c r="C10" s="8">
        <v>1038</v>
      </c>
      <c r="D10" s="9">
        <v>473.35</v>
      </c>
      <c r="E10" s="8">
        <v>4557</v>
      </c>
      <c r="F10" s="8">
        <v>73</v>
      </c>
      <c r="G10" s="10">
        <v>8.6999999999999993</v>
      </c>
      <c r="H10" s="9">
        <v>7514.69</v>
      </c>
      <c r="I10" s="11">
        <v>52.7</v>
      </c>
      <c r="J10" s="10">
        <v>4</v>
      </c>
      <c r="K10" s="10">
        <v>353</v>
      </c>
      <c r="L10" s="10">
        <v>8554.35</v>
      </c>
      <c r="M10" s="9">
        <v>307.3</v>
      </c>
      <c r="N10" s="9">
        <v>3121.56</v>
      </c>
      <c r="O10" s="9">
        <v>19.25</v>
      </c>
      <c r="P10" s="9">
        <v>1885.43</v>
      </c>
      <c r="Q10" s="9">
        <v>16.739999999999998</v>
      </c>
      <c r="R10" s="8">
        <v>17270</v>
      </c>
      <c r="S10" s="12">
        <v>3.2</v>
      </c>
      <c r="T10" s="12">
        <v>4132.2</v>
      </c>
      <c r="U10" s="12">
        <v>3.8</v>
      </c>
      <c r="V10" s="8">
        <v>4</v>
      </c>
      <c r="W10" s="8">
        <v>1576</v>
      </c>
      <c r="X10" s="13">
        <v>28.6</v>
      </c>
      <c r="Y10" s="13">
        <v>8.1999999999999993</v>
      </c>
      <c r="Z10" s="13">
        <v>65</v>
      </c>
      <c r="AA10" s="13">
        <v>16.8</v>
      </c>
      <c r="AB10" s="9">
        <v>2.5099999999999998</v>
      </c>
      <c r="AC10" s="10">
        <v>940</v>
      </c>
      <c r="AD10" s="10">
        <v>41.3</v>
      </c>
      <c r="AE10" s="14">
        <v>2093360</v>
      </c>
      <c r="AF10" s="10">
        <v>117</v>
      </c>
      <c r="AG10" s="10">
        <v>60.1</v>
      </c>
      <c r="AH10" s="7">
        <v>22.2</v>
      </c>
      <c r="AI10" s="21">
        <v>6.4209691596285392</v>
      </c>
      <c r="AJ10" s="10">
        <v>8.8000000000000007</v>
      </c>
      <c r="AK10" s="21">
        <v>0.62717353919058361</v>
      </c>
      <c r="AL10" s="10">
        <v>69.8</v>
      </c>
      <c r="AM10" s="10">
        <v>-3.12</v>
      </c>
      <c r="AN10" s="10">
        <v>-1.2</v>
      </c>
      <c r="AO10" s="21">
        <v>14.720645161290323</v>
      </c>
      <c r="AP10" s="21">
        <v>9.1466888723320334</v>
      </c>
      <c r="AQ10" s="10">
        <v>7.2</v>
      </c>
      <c r="AR10" s="10">
        <v>221</v>
      </c>
      <c r="AS10" s="14">
        <v>45634</v>
      </c>
      <c r="AT10" s="10">
        <v>84.1</v>
      </c>
      <c r="AU10" s="10">
        <v>7.0000000000000007E-2</v>
      </c>
      <c r="AV10" s="10">
        <v>491</v>
      </c>
      <c r="AW10" s="10">
        <v>20577.7</v>
      </c>
      <c r="AX10" s="10">
        <v>17143.099999999999</v>
      </c>
      <c r="AY10" s="10">
        <v>11007</v>
      </c>
      <c r="AZ10" s="10">
        <v>1.5</v>
      </c>
      <c r="BA10" s="10">
        <v>22.51</v>
      </c>
      <c r="BB10" s="10">
        <v>29325</v>
      </c>
      <c r="BC10" s="10">
        <v>5.5</v>
      </c>
      <c r="BD10" s="10">
        <v>1192094</v>
      </c>
      <c r="BE10" s="10">
        <v>1015</v>
      </c>
      <c r="BF10" s="10">
        <v>13762</v>
      </c>
    </row>
    <row r="11" spans="1:58" ht="15">
      <c r="A11" s="1" t="s">
        <v>66</v>
      </c>
      <c r="B11" s="8">
        <v>70079</v>
      </c>
      <c r="C11" s="8">
        <v>1093</v>
      </c>
      <c r="D11" s="9">
        <v>397.31</v>
      </c>
      <c r="E11" s="8">
        <v>3702</v>
      </c>
      <c r="F11" s="8">
        <v>76</v>
      </c>
      <c r="G11" s="10">
        <v>7</v>
      </c>
      <c r="H11" s="9">
        <v>7850.16</v>
      </c>
      <c r="I11" s="11">
        <v>56.1</v>
      </c>
      <c r="J11" s="10">
        <v>4.3</v>
      </c>
      <c r="K11" s="10">
        <v>425</v>
      </c>
      <c r="L11" s="10">
        <v>9329.51</v>
      </c>
      <c r="M11" s="9">
        <v>336.86</v>
      </c>
      <c r="N11" s="9">
        <v>3355.05</v>
      </c>
      <c r="O11" s="9">
        <v>22.95</v>
      </c>
      <c r="P11" s="9">
        <v>2219.9899999999998</v>
      </c>
      <c r="Q11" s="9">
        <v>12.73</v>
      </c>
      <c r="R11" s="8">
        <v>11274</v>
      </c>
      <c r="S11" s="12">
        <v>2</v>
      </c>
      <c r="T11" s="12">
        <v>4311.1000000000004</v>
      </c>
      <c r="U11" s="12">
        <v>3.7</v>
      </c>
      <c r="V11" s="8">
        <v>4</v>
      </c>
      <c r="W11" s="8">
        <v>1557</v>
      </c>
      <c r="X11" s="13">
        <v>41.4</v>
      </c>
      <c r="Y11" s="13">
        <v>11.1</v>
      </c>
      <c r="Z11" s="13">
        <v>63.2</v>
      </c>
      <c r="AA11" s="13">
        <v>16.8</v>
      </c>
      <c r="AB11" s="9">
        <v>2.4500000000000002</v>
      </c>
      <c r="AC11" s="10">
        <v>946</v>
      </c>
      <c r="AD11" s="10">
        <v>60.9</v>
      </c>
      <c r="AE11" s="14">
        <v>1154283</v>
      </c>
      <c r="AF11" s="10">
        <v>57</v>
      </c>
      <c r="AG11" s="10">
        <v>59.6</v>
      </c>
      <c r="AH11" s="7">
        <v>23.8</v>
      </c>
      <c r="AI11" s="21">
        <v>5.9628358036980531</v>
      </c>
      <c r="AJ11" s="10">
        <v>9.1999999999999993</v>
      </c>
      <c r="AK11" s="21">
        <v>0.61943214965480731</v>
      </c>
      <c r="AL11" s="10">
        <v>72.099999999999994</v>
      </c>
      <c r="AM11" s="10">
        <v>-3.92</v>
      </c>
      <c r="AN11" s="10">
        <v>-1.1000000000000001</v>
      </c>
      <c r="AO11" s="21">
        <v>11.094423012097831</v>
      </c>
      <c r="AP11" s="21">
        <v>11.866581141757537</v>
      </c>
      <c r="AQ11" s="10">
        <v>6.1</v>
      </c>
      <c r="AR11" s="10">
        <v>262</v>
      </c>
      <c r="AS11" s="14">
        <v>29621</v>
      </c>
      <c r="AT11" s="10">
        <v>82.4</v>
      </c>
      <c r="AU11" s="10">
        <v>0.82</v>
      </c>
      <c r="AV11" s="10">
        <v>456</v>
      </c>
      <c r="AW11" s="10">
        <v>27367.3</v>
      </c>
      <c r="AX11" s="10">
        <v>15371.2</v>
      </c>
      <c r="AY11" s="10">
        <v>7384</v>
      </c>
      <c r="AZ11" s="10">
        <v>1.1000000000000001</v>
      </c>
      <c r="BA11" s="10">
        <v>56.6</v>
      </c>
      <c r="BB11" s="10">
        <v>30355</v>
      </c>
      <c r="BC11" s="10">
        <v>3.8</v>
      </c>
      <c r="BD11" s="10">
        <v>623246</v>
      </c>
      <c r="BE11" s="10">
        <v>347</v>
      </c>
      <c r="BF11" s="10">
        <v>13009</v>
      </c>
    </row>
    <row r="12" spans="1:58" ht="15">
      <c r="A12" s="1" t="s">
        <v>67</v>
      </c>
      <c r="B12" s="8">
        <v>86643</v>
      </c>
      <c r="C12" s="8">
        <v>1567</v>
      </c>
      <c r="D12" s="9">
        <v>601.32000000000005</v>
      </c>
      <c r="E12" s="8">
        <v>7456</v>
      </c>
      <c r="F12" s="8">
        <v>121</v>
      </c>
      <c r="G12" s="10">
        <v>4.5999999999999996</v>
      </c>
      <c r="H12" s="9">
        <v>8620.2800000000007</v>
      </c>
      <c r="I12" s="11">
        <v>60.1</v>
      </c>
      <c r="J12" s="10">
        <v>3.3</v>
      </c>
      <c r="K12" s="10">
        <v>425</v>
      </c>
      <c r="L12" s="10">
        <v>9257.75</v>
      </c>
      <c r="M12" s="9">
        <v>299.87</v>
      </c>
      <c r="N12" s="9">
        <v>3362.2</v>
      </c>
      <c r="O12" s="9">
        <v>10.86</v>
      </c>
      <c r="P12" s="9">
        <v>1400.22</v>
      </c>
      <c r="Q12" s="9">
        <v>49.07</v>
      </c>
      <c r="R12" s="8">
        <v>46251</v>
      </c>
      <c r="S12" s="12">
        <v>1.3</v>
      </c>
      <c r="T12" s="12">
        <v>2087.9</v>
      </c>
      <c r="U12" s="12">
        <v>5.4</v>
      </c>
      <c r="V12" s="8">
        <v>4</v>
      </c>
      <c r="W12" s="8">
        <v>1583</v>
      </c>
      <c r="X12" s="13">
        <v>36.799999999999997</v>
      </c>
      <c r="Y12" s="13">
        <v>10.1</v>
      </c>
      <c r="Z12" s="13">
        <v>45.8</v>
      </c>
      <c r="AA12" s="13">
        <v>12</v>
      </c>
      <c r="AB12" s="9">
        <v>1.74</v>
      </c>
      <c r="AC12" s="10">
        <v>921</v>
      </c>
      <c r="AD12" s="10">
        <v>63.1</v>
      </c>
      <c r="AE12" s="14">
        <v>2357320</v>
      </c>
      <c r="AF12" s="10">
        <v>129</v>
      </c>
      <c r="AG12" s="10">
        <v>59.6</v>
      </c>
      <c r="AH12" s="7">
        <v>25.4</v>
      </c>
      <c r="AI12" s="21">
        <v>3.7803522644358849</v>
      </c>
      <c r="AJ12" s="10">
        <v>13.8</v>
      </c>
      <c r="AK12" s="21">
        <v>0.87357677362428521</v>
      </c>
      <c r="AL12" s="10">
        <v>70.3</v>
      </c>
      <c r="AM12" s="10">
        <v>-2.4700000000000002</v>
      </c>
      <c r="AN12" s="10">
        <v>2.2999999999999998</v>
      </c>
      <c r="AO12" s="21">
        <v>15.089281462787486</v>
      </c>
      <c r="AP12" s="21">
        <v>8.275216426309866</v>
      </c>
      <c r="AQ12" s="10">
        <v>6.3</v>
      </c>
      <c r="AR12" s="10">
        <v>403</v>
      </c>
      <c r="AS12" s="14">
        <v>95067</v>
      </c>
      <c r="AT12" s="10">
        <v>83.1</v>
      </c>
      <c r="AU12" s="10">
        <v>1.79</v>
      </c>
      <c r="AV12" s="10">
        <v>930.4</v>
      </c>
      <c r="AW12" s="10">
        <v>20982.9</v>
      </c>
      <c r="AX12" s="10">
        <v>15472.4</v>
      </c>
      <c r="AY12" s="10">
        <v>10821</v>
      </c>
      <c r="AZ12" s="10">
        <v>1.4</v>
      </c>
      <c r="BA12" s="10">
        <v>124.78</v>
      </c>
      <c r="BB12" s="10">
        <v>29162</v>
      </c>
      <c r="BC12" s="10">
        <v>6.4</v>
      </c>
      <c r="BD12" s="10">
        <v>1377506</v>
      </c>
      <c r="BE12" s="10">
        <v>1686</v>
      </c>
      <c r="BF12" s="10">
        <v>46931</v>
      </c>
    </row>
    <row r="13" spans="1:58" ht="15">
      <c r="A13" s="1" t="s">
        <v>68</v>
      </c>
      <c r="B13" s="8">
        <v>93591</v>
      </c>
      <c r="C13" s="8">
        <v>1271</v>
      </c>
      <c r="D13" s="9">
        <v>540.98</v>
      </c>
      <c r="E13" s="8">
        <v>7615</v>
      </c>
      <c r="F13" s="8">
        <v>82</v>
      </c>
      <c r="G13" s="10">
        <v>3.6</v>
      </c>
      <c r="H13" s="9">
        <v>8537.5400000000009</v>
      </c>
      <c r="I13" s="11">
        <v>55.9</v>
      </c>
      <c r="J13" s="10">
        <v>2.2000000000000002</v>
      </c>
      <c r="K13" s="10">
        <v>445</v>
      </c>
      <c r="L13" s="10">
        <v>8987.23</v>
      </c>
      <c r="M13" s="9">
        <v>270.11</v>
      </c>
      <c r="N13" s="9">
        <v>3402.3</v>
      </c>
      <c r="O13" s="9">
        <v>24.06</v>
      </c>
      <c r="P13" s="9">
        <v>1279.55</v>
      </c>
      <c r="Q13" s="9">
        <v>11.24</v>
      </c>
      <c r="R13" s="8">
        <v>14305</v>
      </c>
      <c r="S13" s="12">
        <v>1.7</v>
      </c>
      <c r="T13" s="12">
        <v>3478.7</v>
      </c>
      <c r="U13" s="12">
        <v>5.5</v>
      </c>
      <c r="V13" s="8">
        <v>4</v>
      </c>
      <c r="W13" s="8">
        <v>1531</v>
      </c>
      <c r="X13" s="13">
        <v>38.299999999999997</v>
      </c>
      <c r="Y13" s="13">
        <v>9.3000000000000007</v>
      </c>
      <c r="Z13" s="13">
        <v>60.9</v>
      </c>
      <c r="AA13" s="13">
        <v>14.2</v>
      </c>
      <c r="AB13" s="9">
        <v>2.46</v>
      </c>
      <c r="AC13" s="10">
        <v>974</v>
      </c>
      <c r="AD13" s="10">
        <v>76.099999999999994</v>
      </c>
      <c r="AE13" s="14">
        <v>4402950</v>
      </c>
      <c r="AF13" s="10">
        <v>355</v>
      </c>
      <c r="AG13" s="10">
        <v>58.9</v>
      </c>
      <c r="AH13" s="7">
        <v>22.8</v>
      </c>
      <c r="AI13" s="21">
        <v>3.1418935032194324</v>
      </c>
      <c r="AJ13" s="10">
        <v>9.6</v>
      </c>
      <c r="AK13" s="21">
        <v>0.72480950271976741</v>
      </c>
      <c r="AL13" s="10">
        <v>73.599999999999994</v>
      </c>
      <c r="AM13" s="10">
        <v>-6.05</v>
      </c>
      <c r="AN13" s="10">
        <v>-0.7</v>
      </c>
      <c r="AO13" s="21">
        <v>14.224033639107812</v>
      </c>
      <c r="AP13" s="21">
        <v>7.7364535680665885</v>
      </c>
      <c r="AQ13" s="10">
        <v>6</v>
      </c>
      <c r="AR13" s="10">
        <v>282</v>
      </c>
      <c r="AS13" s="14">
        <v>121102</v>
      </c>
      <c r="AT13" s="10">
        <v>84.3</v>
      </c>
      <c r="AU13" s="10">
        <v>1.76</v>
      </c>
      <c r="AV13" s="10">
        <v>1323.2</v>
      </c>
      <c r="AW13" s="10">
        <v>24539.599999999999</v>
      </c>
      <c r="AX13" s="10">
        <v>21838.5</v>
      </c>
      <c r="AY13" s="10">
        <v>15037</v>
      </c>
      <c r="AZ13" s="10">
        <v>3.2</v>
      </c>
      <c r="BA13" s="10">
        <v>79.680000000000007</v>
      </c>
      <c r="BB13" s="10">
        <v>9105</v>
      </c>
      <c r="BC13" s="10">
        <v>15.3</v>
      </c>
      <c r="BD13" s="10">
        <v>2521665</v>
      </c>
      <c r="BE13" s="10">
        <v>1786</v>
      </c>
      <c r="BF13" s="10">
        <v>147216</v>
      </c>
    </row>
    <row r="14" spans="1:58" ht="15">
      <c r="A14" s="1" t="s">
        <v>69</v>
      </c>
      <c r="B14" s="8">
        <v>67847</v>
      </c>
      <c r="C14" s="8">
        <v>1140</v>
      </c>
      <c r="D14" s="9">
        <v>389.77</v>
      </c>
      <c r="E14" s="8">
        <v>3908</v>
      </c>
      <c r="F14" s="8">
        <v>76</v>
      </c>
      <c r="G14" s="10">
        <v>7.6</v>
      </c>
      <c r="H14" s="9">
        <v>7664.18</v>
      </c>
      <c r="I14" s="11">
        <v>55.5</v>
      </c>
      <c r="J14" s="10">
        <v>4.3</v>
      </c>
      <c r="K14" s="10">
        <v>398</v>
      </c>
      <c r="L14" s="10">
        <v>8239.69</v>
      </c>
      <c r="M14" s="9">
        <v>310.55</v>
      </c>
      <c r="N14" s="9">
        <v>2768.03</v>
      </c>
      <c r="O14" s="9">
        <v>22.42</v>
      </c>
      <c r="P14" s="9">
        <v>1567.54</v>
      </c>
      <c r="Q14" s="9">
        <v>16.579999999999998</v>
      </c>
      <c r="R14" s="8">
        <v>17580</v>
      </c>
      <c r="S14" s="12">
        <v>2.2000000000000002</v>
      </c>
      <c r="T14" s="12">
        <v>3657</v>
      </c>
      <c r="U14" s="12">
        <v>3.2</v>
      </c>
      <c r="V14" s="8">
        <v>3</v>
      </c>
      <c r="W14" s="8">
        <v>1461</v>
      </c>
      <c r="X14" s="13">
        <v>32.200000000000003</v>
      </c>
      <c r="Y14" s="13">
        <v>8.6999999999999993</v>
      </c>
      <c r="Z14" s="13">
        <v>70.2</v>
      </c>
      <c r="AA14" s="13">
        <v>16</v>
      </c>
      <c r="AB14" s="9">
        <v>2.36</v>
      </c>
      <c r="AC14" s="10">
        <v>934</v>
      </c>
      <c r="AD14" s="10">
        <v>45</v>
      </c>
      <c r="AE14" s="14">
        <v>1196557</v>
      </c>
      <c r="AF14" s="10">
        <v>101</v>
      </c>
      <c r="AG14" s="10">
        <v>58.3</v>
      </c>
      <c r="AH14" s="7">
        <v>22.8</v>
      </c>
      <c r="AI14" s="21">
        <v>4.5242307721236852</v>
      </c>
      <c r="AJ14" s="10">
        <v>8.8000000000000007</v>
      </c>
      <c r="AK14" s="21">
        <v>0.76828767873156067</v>
      </c>
      <c r="AL14" s="10">
        <v>75.599999999999994</v>
      </c>
      <c r="AM14" s="10">
        <v>-6.69</v>
      </c>
      <c r="AN14" s="10">
        <v>-2.2999999999999998</v>
      </c>
      <c r="AO14" s="21">
        <v>12.972480777013356</v>
      </c>
      <c r="AP14" s="21">
        <v>11.4646700982686</v>
      </c>
      <c r="AQ14" s="10">
        <v>6.2</v>
      </c>
      <c r="AR14" s="10">
        <v>166</v>
      </c>
      <c r="AS14" s="14">
        <v>19233</v>
      </c>
      <c r="AT14" s="10">
        <v>85.8</v>
      </c>
      <c r="AU14" s="10">
        <v>0.48</v>
      </c>
      <c r="AV14" s="10">
        <v>460.2</v>
      </c>
      <c r="AW14" s="10">
        <v>17203.599999999999</v>
      </c>
      <c r="AX14" s="10">
        <v>14862.3</v>
      </c>
      <c r="AY14" s="10">
        <v>14048</v>
      </c>
      <c r="AZ14" s="10">
        <v>1.3</v>
      </c>
      <c r="BA14" s="10">
        <v>41.18</v>
      </c>
      <c r="BB14" s="10">
        <v>15454</v>
      </c>
      <c r="BC14" s="10">
        <v>6.2</v>
      </c>
      <c r="BD14" s="10">
        <v>670137</v>
      </c>
      <c r="BE14" s="10">
        <v>665</v>
      </c>
      <c r="BF14" s="10">
        <v>10559</v>
      </c>
    </row>
    <row r="15" spans="1:58" ht="15">
      <c r="A15" s="1" t="s">
        <v>70</v>
      </c>
      <c r="B15" s="8">
        <v>64077</v>
      </c>
      <c r="C15" s="8">
        <v>1113</v>
      </c>
      <c r="D15" s="9">
        <v>332.28</v>
      </c>
      <c r="E15" s="8">
        <v>3862</v>
      </c>
      <c r="F15" s="8">
        <v>78</v>
      </c>
      <c r="G15" s="10">
        <v>8.4</v>
      </c>
      <c r="H15" s="9">
        <v>7529.41</v>
      </c>
      <c r="I15" s="11">
        <v>54.3</v>
      </c>
      <c r="J15" s="10">
        <v>5.2</v>
      </c>
      <c r="K15" s="10">
        <v>413</v>
      </c>
      <c r="L15" s="10">
        <v>8375.73</v>
      </c>
      <c r="M15" s="9">
        <v>331.08</v>
      </c>
      <c r="N15" s="9">
        <v>2872.77</v>
      </c>
      <c r="O15" s="9">
        <v>11.33</v>
      </c>
      <c r="P15" s="9">
        <v>1575.65</v>
      </c>
      <c r="Q15" s="9">
        <v>30.84</v>
      </c>
      <c r="R15" s="8">
        <v>25723</v>
      </c>
      <c r="S15" s="12">
        <v>2.1</v>
      </c>
      <c r="T15" s="12">
        <v>2839.2</v>
      </c>
      <c r="U15" s="12">
        <v>4.5</v>
      </c>
      <c r="V15" s="8">
        <v>3</v>
      </c>
      <c r="W15" s="8">
        <v>2412</v>
      </c>
      <c r="X15" s="13">
        <v>26.4</v>
      </c>
      <c r="Y15" s="13">
        <v>7.1</v>
      </c>
      <c r="Z15" s="13">
        <v>53</v>
      </c>
      <c r="AA15" s="13">
        <v>12.2</v>
      </c>
      <c r="AB15" s="9">
        <v>1.73</v>
      </c>
      <c r="AC15" s="10">
        <v>903</v>
      </c>
      <c r="AD15" s="10">
        <v>59.3</v>
      </c>
      <c r="AE15" s="14">
        <v>1382232</v>
      </c>
      <c r="AF15" s="10">
        <v>57</v>
      </c>
      <c r="AG15" s="10">
        <v>59.9</v>
      </c>
      <c r="AH15" s="7">
        <v>20.2</v>
      </c>
      <c r="AI15" s="21">
        <v>5.3130010012790905</v>
      </c>
      <c r="AJ15" s="10">
        <v>10.7</v>
      </c>
      <c r="AK15" s="21">
        <v>0.69402242170634154</v>
      </c>
      <c r="AL15" s="10">
        <v>70.900000000000006</v>
      </c>
      <c r="AM15" s="10">
        <v>-4.71</v>
      </c>
      <c r="AN15" s="10">
        <v>-1.8</v>
      </c>
      <c r="AO15" s="21">
        <v>11.237521099590065</v>
      </c>
      <c r="AP15" s="21">
        <v>9.0039054117849009</v>
      </c>
      <c r="AQ15" s="10">
        <v>8.6</v>
      </c>
      <c r="AR15" s="10">
        <v>173</v>
      </c>
      <c r="AS15" s="14">
        <v>23301</v>
      </c>
      <c r="AT15" s="10">
        <v>84.4</v>
      </c>
      <c r="AU15" s="10">
        <v>0</v>
      </c>
      <c r="AV15" s="10">
        <v>398</v>
      </c>
      <c r="AW15" s="10">
        <v>22304</v>
      </c>
      <c r="AX15" s="10">
        <v>14801.1</v>
      </c>
      <c r="AY15" s="10">
        <v>7953</v>
      </c>
      <c r="AZ15" s="10">
        <v>1.1000000000000001</v>
      </c>
      <c r="BA15" s="10">
        <v>47.76</v>
      </c>
      <c r="BB15" s="10">
        <v>20635</v>
      </c>
      <c r="BC15" s="10">
        <v>4.5999999999999996</v>
      </c>
      <c r="BD15" s="10">
        <v>767954</v>
      </c>
      <c r="BE15" s="10">
        <v>758</v>
      </c>
      <c r="BF15" s="10">
        <v>23979</v>
      </c>
    </row>
    <row r="16" spans="1:58" ht="15">
      <c r="A16" s="1" t="s">
        <v>71</v>
      </c>
      <c r="B16" s="8">
        <v>95104</v>
      </c>
      <c r="C16" s="8">
        <v>1491</v>
      </c>
      <c r="D16" s="9">
        <v>596.51</v>
      </c>
      <c r="E16" s="8">
        <v>6894</v>
      </c>
      <c r="F16" s="8">
        <v>105</v>
      </c>
      <c r="G16" s="10">
        <v>2.9</v>
      </c>
      <c r="H16" s="9">
        <v>7759.22</v>
      </c>
      <c r="I16" s="11">
        <v>59.9</v>
      </c>
      <c r="J16" s="10">
        <v>3</v>
      </c>
      <c r="K16" s="10">
        <v>398</v>
      </c>
      <c r="L16" s="10">
        <v>8604.0400000000009</v>
      </c>
      <c r="M16" s="9">
        <v>304.82</v>
      </c>
      <c r="N16" s="9">
        <v>3345.34</v>
      </c>
      <c r="O16" s="9">
        <v>21.1</v>
      </c>
      <c r="P16" s="9">
        <v>1557.5</v>
      </c>
      <c r="Q16" s="9">
        <v>11.66</v>
      </c>
      <c r="R16" s="8">
        <v>11057</v>
      </c>
      <c r="S16" s="12">
        <v>1.8</v>
      </c>
      <c r="T16" s="12">
        <v>3278.7</v>
      </c>
      <c r="U16" s="12">
        <v>4.0999999999999996</v>
      </c>
      <c r="V16" s="8">
        <v>3</v>
      </c>
      <c r="W16" s="8">
        <v>1205</v>
      </c>
      <c r="X16" s="13">
        <v>30.7</v>
      </c>
      <c r="Y16" s="13">
        <v>8.8000000000000007</v>
      </c>
      <c r="Z16" s="13">
        <v>48</v>
      </c>
      <c r="AA16" s="13">
        <v>15.4</v>
      </c>
      <c r="AB16" s="9">
        <v>1.91</v>
      </c>
      <c r="AC16" s="10">
        <v>966</v>
      </c>
      <c r="AD16" s="10">
        <v>53.8</v>
      </c>
      <c r="AE16" s="14">
        <v>3504579</v>
      </c>
      <c r="AF16" s="10">
        <v>117</v>
      </c>
      <c r="AG16" s="10">
        <v>59.6</v>
      </c>
      <c r="AH16" s="7">
        <v>23.1</v>
      </c>
      <c r="AI16" s="21">
        <v>2.5928364006061786</v>
      </c>
      <c r="AJ16" s="10">
        <v>13.4</v>
      </c>
      <c r="AK16" s="21">
        <v>0.69195187210789089</v>
      </c>
      <c r="AL16" s="10">
        <v>70.5</v>
      </c>
      <c r="AM16" s="10">
        <v>-2.8</v>
      </c>
      <c r="AN16" s="10">
        <v>0.6</v>
      </c>
      <c r="AO16" s="21">
        <v>12.532474741867436</v>
      </c>
      <c r="AP16" s="21">
        <v>8.1626506024096379</v>
      </c>
      <c r="AQ16" s="10">
        <v>4.3</v>
      </c>
      <c r="AR16" s="10">
        <v>324</v>
      </c>
      <c r="AS16" s="14">
        <v>112880</v>
      </c>
      <c r="AT16" s="10">
        <v>83</v>
      </c>
      <c r="AU16" s="10">
        <v>0.25</v>
      </c>
      <c r="AV16" s="10">
        <v>1026.7</v>
      </c>
      <c r="AW16" s="10">
        <v>41167.4</v>
      </c>
      <c r="AX16" s="10">
        <v>31296.799999999999</v>
      </c>
      <c r="AY16" s="10">
        <v>17317</v>
      </c>
      <c r="AZ16" s="10">
        <v>1.9</v>
      </c>
      <c r="BA16" s="10">
        <v>90.44</v>
      </c>
      <c r="BB16" s="10">
        <v>35094</v>
      </c>
      <c r="BC16" s="10">
        <v>6.4</v>
      </c>
      <c r="BD16" s="10">
        <v>2289238</v>
      </c>
      <c r="BE16" s="10">
        <v>2469</v>
      </c>
      <c r="BF16" s="10">
        <v>46662</v>
      </c>
    </row>
    <row r="17" spans="1:58" ht="15">
      <c r="A17" s="1" t="s">
        <v>72</v>
      </c>
      <c r="B17" s="8">
        <v>74398</v>
      </c>
      <c r="C17" s="8">
        <v>1572</v>
      </c>
      <c r="D17" s="9">
        <v>490.3</v>
      </c>
      <c r="E17" s="8">
        <v>5331</v>
      </c>
      <c r="F17" s="8">
        <v>104</v>
      </c>
      <c r="G17" s="10">
        <v>6.8</v>
      </c>
      <c r="H17" s="9">
        <v>8027.37</v>
      </c>
      <c r="I17" s="11">
        <v>58.1</v>
      </c>
      <c r="J17" s="10">
        <v>3.3</v>
      </c>
      <c r="K17" s="10">
        <v>445</v>
      </c>
      <c r="L17" s="10">
        <v>9044.31</v>
      </c>
      <c r="M17" s="9">
        <v>359.04</v>
      </c>
      <c r="N17" s="9">
        <v>2901.72</v>
      </c>
      <c r="O17" s="9">
        <v>9.8000000000000007</v>
      </c>
      <c r="P17" s="9">
        <v>1655.63</v>
      </c>
      <c r="Q17" s="9">
        <v>94.5</v>
      </c>
      <c r="R17" s="8">
        <v>101574</v>
      </c>
      <c r="S17" s="12">
        <v>2.1</v>
      </c>
      <c r="T17" s="12">
        <v>3632.9</v>
      </c>
      <c r="U17" s="12">
        <v>6</v>
      </c>
      <c r="V17" s="8">
        <v>3</v>
      </c>
      <c r="W17" s="8">
        <v>1755</v>
      </c>
      <c r="X17" s="15">
        <v>34</v>
      </c>
      <c r="Y17" s="15">
        <v>10.7</v>
      </c>
      <c r="Z17" s="15">
        <v>48.1</v>
      </c>
      <c r="AA17" s="15">
        <v>12.6</v>
      </c>
      <c r="AB17" s="9">
        <v>1.53</v>
      </c>
      <c r="AC17" s="10">
        <v>932</v>
      </c>
      <c r="AD17" s="10">
        <v>68.400000000000006</v>
      </c>
      <c r="AE17" s="14">
        <v>1657716</v>
      </c>
      <c r="AF17" s="10">
        <v>72</v>
      </c>
      <c r="AG17" s="10">
        <v>59.2</v>
      </c>
      <c r="AH17" s="7">
        <v>22.6</v>
      </c>
      <c r="AI17" s="21">
        <v>4.6134561046644897</v>
      </c>
      <c r="AJ17" s="10">
        <v>10.8</v>
      </c>
      <c r="AK17" s="21">
        <v>1.0582029732475284</v>
      </c>
      <c r="AL17" s="10">
        <v>72.7</v>
      </c>
      <c r="AM17" s="10">
        <v>-5.65</v>
      </c>
      <c r="AN17" s="10">
        <v>-0.1</v>
      </c>
      <c r="AO17" s="21">
        <v>10.729815455594002</v>
      </c>
      <c r="AP17" s="21">
        <v>18.27954099594206</v>
      </c>
      <c r="AQ17" s="10">
        <v>12.3</v>
      </c>
      <c r="AR17" s="10">
        <v>229</v>
      </c>
      <c r="AS17" s="14">
        <v>37211</v>
      </c>
      <c r="AT17" s="10">
        <v>82.7</v>
      </c>
      <c r="AU17" s="10">
        <v>0.87</v>
      </c>
      <c r="AV17" s="10">
        <v>591.79999999999995</v>
      </c>
      <c r="AW17" s="10">
        <v>18676.5</v>
      </c>
      <c r="AX17" s="10">
        <v>14199.4</v>
      </c>
      <c r="AY17" s="10">
        <v>7554</v>
      </c>
      <c r="AZ17" s="10">
        <v>1.4</v>
      </c>
      <c r="BA17" s="10">
        <v>117.13</v>
      </c>
      <c r="BB17" s="10">
        <v>29590</v>
      </c>
      <c r="BC17" s="10">
        <v>5.4</v>
      </c>
      <c r="BD17" s="10">
        <v>941493</v>
      </c>
      <c r="BE17" s="10">
        <v>747</v>
      </c>
      <c r="BF17" s="10">
        <v>42599</v>
      </c>
    </row>
    <row r="19" spans="1:58" ht="12.75" customHeight="1">
      <c r="AI19" s="5"/>
    </row>
    <row r="20" spans="1:58" ht="12.75" customHeight="1">
      <c r="AI20" s="22"/>
    </row>
    <row r="21" spans="1:58" ht="12.75" customHeight="1">
      <c r="AI21" s="23"/>
      <c r="AR21" s="4"/>
      <c r="AS21" s="4"/>
    </row>
    <row r="22" spans="1:58" ht="12.75" customHeight="1">
      <c r="B22" s="3"/>
      <c r="AE22" s="24"/>
      <c r="AI22" s="24"/>
      <c r="AR22" s="4"/>
      <c r="AS22" s="4"/>
    </row>
    <row r="23" spans="1:58" ht="12.75" customHeight="1">
      <c r="B23" s="3"/>
      <c r="AR23" s="4"/>
      <c r="AS23" s="4"/>
    </row>
    <row r="24" spans="1:58" ht="12.75" customHeight="1">
      <c r="B24" s="3"/>
      <c r="AE24" s="10"/>
      <c r="AF24" s="14"/>
      <c r="AG24" s="25"/>
      <c r="AI24" s="10"/>
      <c r="AJ24" s="14"/>
      <c r="AK24" s="25"/>
      <c r="AL24" s="10"/>
      <c r="AR24" s="4"/>
      <c r="AS24" s="4"/>
    </row>
    <row r="25" spans="1:58" ht="12.75" customHeight="1">
      <c r="B25" s="3"/>
      <c r="AE25" s="10"/>
      <c r="AF25" s="14"/>
      <c r="AG25" s="25"/>
      <c r="AI25" s="10"/>
      <c r="AJ25" s="14"/>
      <c r="AK25" s="25"/>
      <c r="AL25" s="10"/>
      <c r="AR25" s="4"/>
      <c r="AS25" s="4"/>
    </row>
    <row r="26" spans="1:58">
      <c r="AE26" s="10"/>
      <c r="AF26" s="14"/>
      <c r="AG26" s="25"/>
      <c r="AI26" s="10"/>
      <c r="AJ26" s="14"/>
      <c r="AK26" s="25"/>
      <c r="AL26" s="10"/>
      <c r="AR26" s="4"/>
      <c r="AS26" s="4"/>
    </row>
    <row r="27" spans="1:58">
      <c r="C27" s="2"/>
      <c r="AE27" s="10"/>
      <c r="AF27" s="14"/>
      <c r="AG27" s="25"/>
      <c r="AI27" s="10"/>
      <c r="AJ27" s="14"/>
      <c r="AK27" s="25"/>
      <c r="AL27" s="10"/>
      <c r="AR27" s="4"/>
      <c r="AS27" s="4"/>
    </row>
    <row r="28" spans="1:58">
      <c r="C28" s="2"/>
      <c r="AE28" s="10"/>
      <c r="AF28" s="14"/>
      <c r="AG28" s="25"/>
      <c r="AI28" s="10"/>
      <c r="AJ28" s="14"/>
      <c r="AK28" s="25"/>
      <c r="AL28" s="10"/>
      <c r="AR28" s="4"/>
      <c r="AS28" s="4"/>
    </row>
    <row r="29" spans="1:58">
      <c r="C29" s="2"/>
      <c r="AE29" s="10"/>
      <c r="AF29" s="14"/>
      <c r="AG29" s="25"/>
      <c r="AI29" s="10"/>
      <c r="AJ29" s="14"/>
      <c r="AK29" s="25"/>
      <c r="AL29" s="10"/>
      <c r="AR29" s="4"/>
      <c r="AS29" s="4"/>
    </row>
    <row r="30" spans="1:58">
      <c r="C30" s="2"/>
      <c r="AE30" s="10"/>
      <c r="AF30" s="14"/>
      <c r="AG30" s="25"/>
      <c r="AI30" s="10"/>
      <c r="AJ30" s="14"/>
      <c r="AK30" s="25"/>
      <c r="AL30" s="10"/>
      <c r="AR30" s="4"/>
      <c r="AS30" s="4"/>
    </row>
    <row r="31" spans="1:58">
      <c r="C31" s="2"/>
      <c r="AE31" s="10"/>
      <c r="AF31" s="14"/>
      <c r="AG31" s="25"/>
      <c r="AI31" s="10"/>
      <c r="AJ31" s="14"/>
      <c r="AK31" s="25"/>
      <c r="AL31" s="10"/>
      <c r="AR31" s="4"/>
      <c r="AS31" s="4"/>
    </row>
    <row r="32" spans="1:58">
      <c r="C32" s="2"/>
      <c r="AE32" s="10"/>
      <c r="AF32" s="14"/>
      <c r="AG32" s="25"/>
      <c r="AI32" s="10"/>
      <c r="AJ32" s="14"/>
      <c r="AK32" s="25"/>
      <c r="AL32" s="10"/>
      <c r="AR32" s="4"/>
      <c r="AS32" s="4"/>
    </row>
    <row r="33" spans="3:45">
      <c r="C33" s="2"/>
      <c r="AE33" s="10"/>
      <c r="AF33" s="14"/>
      <c r="AG33" s="25"/>
      <c r="AI33" s="10"/>
      <c r="AJ33" s="14"/>
      <c r="AK33" s="25"/>
      <c r="AL33" s="10"/>
      <c r="AR33" s="4"/>
      <c r="AS33" s="4"/>
    </row>
    <row r="34" spans="3:45">
      <c r="C34" s="2"/>
      <c r="AE34" s="10"/>
      <c r="AF34" s="14"/>
      <c r="AG34" s="25"/>
      <c r="AI34" s="10"/>
      <c r="AJ34" s="14"/>
      <c r="AK34" s="25"/>
      <c r="AL34" s="10"/>
      <c r="AR34" s="4"/>
      <c r="AS34" s="4"/>
    </row>
    <row r="35" spans="3:45">
      <c r="C35" s="2"/>
      <c r="AE35" s="10"/>
      <c r="AF35" s="14"/>
      <c r="AG35" s="25"/>
      <c r="AI35" s="10"/>
      <c r="AJ35" s="14"/>
      <c r="AK35" s="25"/>
      <c r="AL35" s="10"/>
      <c r="AR35" s="4"/>
      <c r="AS35" s="4"/>
    </row>
    <row r="36" spans="3:45">
      <c r="C36" s="2"/>
      <c r="AE36" s="10"/>
      <c r="AF36" s="14"/>
      <c r="AG36" s="25"/>
      <c r="AI36" s="10"/>
      <c r="AJ36" s="14"/>
      <c r="AK36" s="25"/>
      <c r="AL36" s="10"/>
      <c r="AR36" s="4"/>
      <c r="AS36" s="4"/>
    </row>
    <row r="37" spans="3:45">
      <c r="C37" s="2"/>
      <c r="AE37" s="10"/>
      <c r="AF37" s="14"/>
      <c r="AG37" s="25"/>
      <c r="AI37" s="10"/>
      <c r="AJ37" s="14"/>
      <c r="AK37" s="25"/>
      <c r="AL37" s="10"/>
    </row>
    <row r="38" spans="3:45">
      <c r="C38" s="2"/>
      <c r="AE38" s="10"/>
      <c r="AF38" s="14"/>
      <c r="AG38" s="25"/>
      <c r="AI38" s="10"/>
      <c r="AJ38" s="14"/>
      <c r="AK38" s="25"/>
      <c r="AL38" s="10"/>
    </row>
    <row r="39" spans="3:45">
      <c r="C39" s="2"/>
      <c r="AE39" s="10"/>
      <c r="AF39" s="14"/>
      <c r="AG39" s="25"/>
      <c r="AI39" s="10"/>
      <c r="AJ39" s="14"/>
      <c r="AK39" s="25"/>
      <c r="AL39" s="10"/>
    </row>
    <row r="40" spans="3:45">
      <c r="C40" s="2"/>
    </row>
    <row r="41" spans="3:45">
      <c r="C41" s="2"/>
      <c r="AE41" s="26"/>
      <c r="AF41" s="26"/>
      <c r="AI41" s="26"/>
      <c r="AJ41" s="26"/>
    </row>
    <row r="42" spans="3:45" ht="12.75" customHeight="1">
      <c r="AI42" s="23"/>
    </row>
    <row r="43" spans="3:45" ht="12.75" customHeight="1">
      <c r="AI43" s="23"/>
    </row>
    <row r="44" spans="3:45" ht="12.75" customHeight="1">
      <c r="AI44" s="22"/>
    </row>
    <row r="45" spans="3:45" ht="12.75" customHeight="1">
      <c r="AI45" s="23"/>
    </row>
    <row r="46" spans="3:45" ht="12.75" customHeight="1">
      <c r="AI46" s="23"/>
    </row>
    <row r="47" spans="3:45" ht="12.75" customHeight="1">
      <c r="AI47" s="22"/>
    </row>
    <row r="48" spans="3:45" ht="12.75" customHeight="1">
      <c r="AI48" s="23"/>
    </row>
    <row r="49" spans="35:35" ht="12.75" customHeight="1">
      <c r="AI49" s="5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Roman,Normalny"&amp;12&amp;A</oddHeader>
    <oddFooter>&amp;C&amp;"Times New Roman,Normalny"&amp;12Page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6"/>
  <sheetViews>
    <sheetView zoomScale="80" zoomScaleNormal="80" workbookViewId="0">
      <selection activeCell="P30" sqref="P30"/>
    </sheetView>
  </sheetViews>
  <sheetFormatPr defaultColWidth="11.5703125" defaultRowHeight="12.75" customHeight="1"/>
  <cols>
    <col min="17" max="17" width="11.42578125" customWidth="1"/>
    <col min="18" max="18" width="14.28515625" customWidth="1"/>
  </cols>
  <sheetData>
    <row r="1" spans="1:20">
      <c r="A1" s="27">
        <v>1</v>
      </c>
      <c r="B1" t="s">
        <v>0</v>
      </c>
      <c r="C1" s="10" t="s">
        <v>73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S1" t="s">
        <v>74</v>
      </c>
      <c r="T1" t="s">
        <v>75</v>
      </c>
    </row>
    <row r="2" spans="1:20" ht="14.25">
      <c r="A2" s="27">
        <v>1</v>
      </c>
      <c r="B2" t="s">
        <v>1</v>
      </c>
      <c r="C2" s="16" t="s">
        <v>76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1:20" ht="14.25">
      <c r="A3" s="27">
        <v>1</v>
      </c>
      <c r="B3" t="s">
        <v>2</v>
      </c>
      <c r="C3" s="16" t="s">
        <v>77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S3">
        <v>1</v>
      </c>
      <c r="T3" t="s">
        <v>78</v>
      </c>
    </row>
    <row r="4" spans="1:20" ht="14.25">
      <c r="A4" s="27">
        <v>1</v>
      </c>
      <c r="B4" t="s">
        <v>4</v>
      </c>
      <c r="C4" s="16" t="s">
        <v>79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S4">
        <v>2</v>
      </c>
      <c r="T4" t="s">
        <v>80</v>
      </c>
    </row>
    <row r="5" spans="1:20" ht="14.25">
      <c r="A5" s="27">
        <v>1</v>
      </c>
      <c r="B5" t="s">
        <v>6</v>
      </c>
      <c r="C5" s="17" t="s">
        <v>81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S5">
        <v>3</v>
      </c>
      <c r="T5" t="s">
        <v>82</v>
      </c>
    </row>
    <row r="6" spans="1:20" ht="14.25">
      <c r="A6" s="28">
        <v>2</v>
      </c>
      <c r="B6" t="s">
        <v>3</v>
      </c>
      <c r="C6" s="16" t="s">
        <v>83</v>
      </c>
      <c r="D6" s="10"/>
      <c r="E6" s="10"/>
      <c r="F6" s="10"/>
      <c r="G6" s="10"/>
      <c r="H6" s="10"/>
      <c r="I6" s="10"/>
      <c r="J6" s="10" t="s">
        <v>84</v>
      </c>
      <c r="K6" s="10"/>
      <c r="L6" s="10"/>
      <c r="M6" s="10"/>
      <c r="N6" s="10"/>
      <c r="S6">
        <v>4</v>
      </c>
      <c r="T6" t="s">
        <v>85</v>
      </c>
    </row>
    <row r="7" spans="1:20" ht="14.25">
      <c r="A7" s="28">
        <v>2</v>
      </c>
      <c r="B7" t="s">
        <v>10</v>
      </c>
      <c r="C7" s="10" t="s">
        <v>86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S7">
        <v>5</v>
      </c>
      <c r="T7" t="s">
        <v>87</v>
      </c>
    </row>
    <row r="8" spans="1:20" ht="14.25">
      <c r="A8" s="28">
        <v>2</v>
      </c>
      <c r="B8" t="s">
        <v>11</v>
      </c>
      <c r="C8" s="10" t="s">
        <v>88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S8">
        <v>6</v>
      </c>
      <c r="T8" t="s">
        <v>89</v>
      </c>
    </row>
    <row r="9" spans="1:20" ht="14.25">
      <c r="A9" s="28">
        <v>2</v>
      </c>
      <c r="B9" t="s">
        <v>12</v>
      </c>
      <c r="C9" s="10" t="s">
        <v>90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S9">
        <v>7</v>
      </c>
      <c r="T9" t="s">
        <v>91</v>
      </c>
    </row>
    <row r="10" spans="1:20" ht="14.25">
      <c r="A10" s="27">
        <v>2</v>
      </c>
      <c r="B10" t="s">
        <v>13</v>
      </c>
      <c r="C10" s="16" t="s">
        <v>92</v>
      </c>
      <c r="D10" s="10"/>
      <c r="E10" s="10"/>
      <c r="F10" s="10"/>
      <c r="G10" s="10"/>
      <c r="H10" s="10"/>
      <c r="I10" s="10"/>
      <c r="J10" s="10" t="s">
        <v>84</v>
      </c>
      <c r="K10" s="10"/>
      <c r="L10" s="10"/>
      <c r="M10" s="10"/>
      <c r="N10" s="10"/>
      <c r="S10">
        <v>8</v>
      </c>
      <c r="T10" t="s">
        <v>93</v>
      </c>
    </row>
    <row r="11" spans="1:20" ht="14.25">
      <c r="A11" s="27">
        <v>2</v>
      </c>
      <c r="B11" t="s">
        <v>14</v>
      </c>
      <c r="C11" s="16" t="s">
        <v>94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S11">
        <v>9</v>
      </c>
      <c r="T11" t="s">
        <v>95</v>
      </c>
    </row>
    <row r="12" spans="1:20">
      <c r="A12" s="27">
        <v>3</v>
      </c>
      <c r="B12" t="s">
        <v>45</v>
      </c>
      <c r="C12" s="10" t="s">
        <v>96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S12">
        <v>10</v>
      </c>
      <c r="T12" t="s">
        <v>97</v>
      </c>
    </row>
    <row r="13" spans="1:20">
      <c r="A13" s="27">
        <v>3</v>
      </c>
      <c r="B13" t="s">
        <v>46</v>
      </c>
      <c r="C13" s="10" t="s">
        <v>98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S13">
        <v>11</v>
      </c>
      <c r="T13" t="s">
        <v>99</v>
      </c>
    </row>
    <row r="14" spans="1:20">
      <c r="A14" s="27">
        <v>3</v>
      </c>
      <c r="B14" t="s">
        <v>47</v>
      </c>
      <c r="C14" s="18" t="s">
        <v>100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20">
      <c r="A15" s="27">
        <v>3</v>
      </c>
      <c r="B15" t="s">
        <v>48</v>
      </c>
      <c r="C15" s="18" t="s">
        <v>101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20">
      <c r="A16" s="27">
        <v>3</v>
      </c>
      <c r="B16" t="s">
        <v>49</v>
      </c>
      <c r="C16" s="10" t="s">
        <v>102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>
      <c r="A17" s="27">
        <v>3</v>
      </c>
      <c r="B17" t="s">
        <v>50</v>
      </c>
      <c r="C17" s="10" t="s">
        <v>103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1:14">
      <c r="A18" s="27">
        <v>3</v>
      </c>
      <c r="B18" t="s">
        <v>51</v>
      </c>
      <c r="C18" s="10" t="s">
        <v>104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>
      <c r="A19" s="27">
        <v>3</v>
      </c>
      <c r="B19" t="s">
        <v>52</v>
      </c>
      <c r="C19" s="18" t="s">
        <v>105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</row>
    <row r="20" spans="1:14">
      <c r="A20" s="27">
        <v>3</v>
      </c>
      <c r="B20" t="s">
        <v>54</v>
      </c>
      <c r="C20" s="18" t="s">
        <v>106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>
      <c r="A21" s="27">
        <v>3</v>
      </c>
      <c r="B21" t="s">
        <v>53</v>
      </c>
      <c r="C21" s="10" t="s">
        <v>107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>
      <c r="A22" s="27">
        <v>3</v>
      </c>
      <c r="B22" t="s">
        <v>55</v>
      </c>
      <c r="C22" s="18" t="s">
        <v>108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>
      <c r="A23" s="27">
        <v>4</v>
      </c>
      <c r="B23" t="s">
        <v>7</v>
      </c>
      <c r="C23" s="10" t="s">
        <v>109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1:14">
      <c r="A24" s="27">
        <v>4</v>
      </c>
      <c r="B24" t="s">
        <v>31</v>
      </c>
      <c r="C24" s="10" t="s">
        <v>110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>
      <c r="A25" s="27">
        <v>4</v>
      </c>
      <c r="B25" t="s">
        <v>32</v>
      </c>
      <c r="C25" s="10" t="s">
        <v>111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1:14">
      <c r="A26" s="27">
        <v>4</v>
      </c>
      <c r="B26" t="s">
        <v>36</v>
      </c>
      <c r="C26" s="10" t="s">
        <v>112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>
      <c r="A27" s="27">
        <v>5</v>
      </c>
      <c r="B27" t="s">
        <v>5</v>
      </c>
      <c r="C27" s="10" t="s">
        <v>113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1:14" ht="12.75" customHeight="1">
      <c r="A28" s="27">
        <v>5</v>
      </c>
      <c r="B28" t="s">
        <v>8</v>
      </c>
      <c r="C28" s="19" t="s">
        <v>114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 ht="12.75" customHeight="1">
      <c r="A29" s="27">
        <v>6</v>
      </c>
      <c r="B29" t="s">
        <v>28</v>
      </c>
      <c r="C29" s="10" t="s">
        <v>115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1:14" ht="12.75" customHeight="1">
      <c r="A30" s="27">
        <v>6</v>
      </c>
      <c r="B30" t="s">
        <v>29</v>
      </c>
      <c r="C30" s="14" t="s">
        <v>116</v>
      </c>
      <c r="D30" s="14"/>
      <c r="E30" s="14"/>
      <c r="F30" s="10"/>
      <c r="G30" s="10"/>
      <c r="H30" s="10"/>
      <c r="I30" s="10"/>
      <c r="J30" s="10"/>
      <c r="K30" s="10"/>
      <c r="L30" s="10"/>
      <c r="M30" s="10"/>
      <c r="N30" s="10"/>
    </row>
    <row r="31" spans="1:14" ht="12.75" customHeight="1">
      <c r="A31" s="27">
        <v>6</v>
      </c>
      <c r="B31" t="s">
        <v>30</v>
      </c>
      <c r="C31" s="10" t="s">
        <v>117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1:14" ht="12.75" customHeight="1">
      <c r="A32" s="27">
        <v>6</v>
      </c>
      <c r="B32" t="s">
        <v>33</v>
      </c>
      <c r="C32" s="10" t="s">
        <v>118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1:14" ht="12.75" customHeight="1">
      <c r="A33" s="27">
        <v>6</v>
      </c>
      <c r="B33" t="s">
        <v>34</v>
      </c>
      <c r="C33" s="10" t="s">
        <v>119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1:14" ht="12.75" customHeight="1">
      <c r="A34" s="27">
        <v>6</v>
      </c>
      <c r="B34" t="s">
        <v>37</v>
      </c>
      <c r="C34" s="10" t="s">
        <v>120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1:14">
      <c r="A35" s="27">
        <v>6</v>
      </c>
      <c r="B35" t="s">
        <v>38</v>
      </c>
      <c r="C35" s="10" t="s">
        <v>121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1:14" ht="12.75" customHeight="1">
      <c r="A36" s="27">
        <v>7</v>
      </c>
      <c r="B36" t="s">
        <v>22</v>
      </c>
      <c r="C36" s="17" t="s">
        <v>122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1:14" ht="12.75" customHeight="1">
      <c r="A37" s="27">
        <v>7</v>
      </c>
      <c r="B37" t="s">
        <v>23</v>
      </c>
      <c r="C37" s="19" t="s">
        <v>123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1:14" ht="12.75" customHeight="1">
      <c r="A38" s="27">
        <v>7</v>
      </c>
      <c r="B38" t="s">
        <v>24</v>
      </c>
      <c r="C38" s="19" t="s">
        <v>124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1:14" ht="12.75" customHeight="1">
      <c r="A39" s="27">
        <v>7</v>
      </c>
      <c r="B39" t="s">
        <v>25</v>
      </c>
      <c r="C39" s="10" t="s">
        <v>125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1:14" ht="12.75" customHeight="1">
      <c r="A40" s="27">
        <v>7</v>
      </c>
      <c r="B40" t="s">
        <v>26</v>
      </c>
      <c r="C40" s="10" t="s">
        <v>126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1:14" ht="12.75" customHeight="1">
      <c r="A41" s="27">
        <v>8</v>
      </c>
      <c r="B41" t="s">
        <v>17</v>
      </c>
      <c r="C41" s="16" t="s">
        <v>127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1:14" ht="12.75" customHeight="1">
      <c r="A42" s="27">
        <v>8</v>
      </c>
      <c r="B42" t="s">
        <v>18</v>
      </c>
      <c r="C42" s="16" t="s">
        <v>128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1:14" ht="12.75" customHeight="1">
      <c r="A43" s="27">
        <v>8</v>
      </c>
      <c r="B43" t="s">
        <v>19</v>
      </c>
      <c r="C43" s="16" t="s">
        <v>129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1:14" ht="12.75" customHeight="1">
      <c r="A44" s="27">
        <v>8</v>
      </c>
      <c r="B44" t="s">
        <v>20</v>
      </c>
      <c r="C44" s="16" t="s">
        <v>130</v>
      </c>
      <c r="D44" s="14"/>
      <c r="E44" s="14"/>
      <c r="F44" s="14"/>
      <c r="G44" s="10"/>
      <c r="H44" s="10"/>
      <c r="I44" s="10"/>
      <c r="J44" s="10"/>
      <c r="K44" s="10"/>
      <c r="L44" s="10"/>
      <c r="M44" s="10"/>
      <c r="N44" s="10"/>
    </row>
    <row r="45" spans="1:14" ht="12.75" customHeight="1">
      <c r="A45" s="27">
        <v>8</v>
      </c>
      <c r="B45" t="s">
        <v>21</v>
      </c>
      <c r="C45" s="10" t="s">
        <v>131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1:14" ht="12.75" customHeight="1">
      <c r="A46" s="27">
        <v>9</v>
      </c>
      <c r="B46" t="s">
        <v>9</v>
      </c>
      <c r="C46" s="10" t="s">
        <v>132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1:14" ht="12.75" customHeight="1">
      <c r="A47" s="27">
        <v>9</v>
      </c>
      <c r="B47" t="s">
        <v>35</v>
      </c>
      <c r="C47" s="20" t="s">
        <v>133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1:14" ht="12.75" customHeight="1">
      <c r="A48" s="27">
        <v>9</v>
      </c>
      <c r="B48" t="s">
        <v>40</v>
      </c>
      <c r="C48" s="18" t="s">
        <v>134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1:14" ht="12.75" customHeight="1">
      <c r="A49" s="27">
        <v>9</v>
      </c>
      <c r="B49" t="s">
        <v>41</v>
      </c>
      <c r="C49" s="10" t="s">
        <v>135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1:14" ht="12.75" customHeight="1">
      <c r="A50">
        <v>9</v>
      </c>
      <c r="B50" t="s">
        <v>56</v>
      </c>
      <c r="C50" s="10" t="s">
        <v>136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1:14" ht="12.75" customHeight="1">
      <c r="A51" s="27">
        <v>10</v>
      </c>
      <c r="B51" t="s">
        <v>15</v>
      </c>
      <c r="C51" s="10" t="s">
        <v>137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1:14" ht="12.75" customHeight="1">
      <c r="A52" s="27">
        <v>10</v>
      </c>
      <c r="B52" t="s">
        <v>16</v>
      </c>
      <c r="C52" s="16" t="s">
        <v>138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1:14" ht="12.75" customHeight="1">
      <c r="A53" s="27">
        <v>11</v>
      </c>
      <c r="B53" t="s">
        <v>44</v>
      </c>
      <c r="C53" s="10" t="s">
        <v>139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1:14" ht="12.75" customHeight="1">
      <c r="A54" s="27">
        <v>11</v>
      </c>
      <c r="B54" t="s">
        <v>27</v>
      </c>
      <c r="C54" s="10" t="s">
        <v>140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1:14" ht="12.75" customHeight="1">
      <c r="A55" s="27">
        <v>11</v>
      </c>
      <c r="B55" t="s">
        <v>39</v>
      </c>
      <c r="C55" s="10" t="s">
        <v>141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1:14" ht="12.75" customHeight="1">
      <c r="A56" s="27">
        <v>11</v>
      </c>
      <c r="B56" t="s">
        <v>42</v>
      </c>
      <c r="C56" s="10" t="s">
        <v>142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1:14" ht="12.75" customHeight="1">
      <c r="A57" s="27">
        <v>11</v>
      </c>
      <c r="B57" t="s">
        <v>43</v>
      </c>
      <c r="C57" s="14" t="s">
        <v>143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1:14" ht="12.75" customHeight="1"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1:14" ht="12.75" customHeight="1"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1:14" ht="12.75" customHeight="1"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5" spans="2:2" ht="12.75" customHeight="1">
      <c r="B65" t="s">
        <v>144</v>
      </c>
    </row>
    <row r="66" spans="2:2" ht="12.75" customHeight="1">
      <c r="B66" t="s">
        <v>145</v>
      </c>
    </row>
  </sheetData>
  <sortState xmlns:xlrd2="http://schemas.microsoft.com/office/spreadsheetml/2017/richdata2" ref="A2:C57">
    <sortCondition ref="A2:A57"/>
  </sortState>
  <conditionalFormatting sqref="A10:A19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A2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0:A3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0:A4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0:A5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:A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:A57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Roman,Normalny"&amp;12&amp;A</oddHeader>
    <oddFooter>&amp;C&amp;"Times New Roman,Normalny"&amp;12Page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C97B-652B-474C-BDFB-BD9105DC5E51}">
  <dimension ref="A1"/>
  <sheetViews>
    <sheetView workbookViewId="0">
      <selection activeCell="A14" sqref="A14"/>
    </sheetView>
  </sheetViews>
  <sheetFormatPr defaultRowHeight="12.75"/>
  <cols>
    <col min="1" max="1" width="55.5703125" customWidth="1"/>
  </cols>
  <sheetData>
    <row r="1" spans="1:1" ht="226.5">
      <c r="A1" s="6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Dawid Kalinowski</cp:lastModifiedBy>
  <cp:revision>7</cp:revision>
  <dcterms:created xsi:type="dcterms:W3CDTF">2026-03-03T21:07:50Z</dcterms:created>
  <dcterms:modified xsi:type="dcterms:W3CDTF">2026-03-17T18:58:21Z</dcterms:modified>
  <cp:category/>
  <cp:contentStatus/>
</cp:coreProperties>
</file>