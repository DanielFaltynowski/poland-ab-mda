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pha\Desktop\Repositories\poland-ab-mda\src\aw-daniel\"/>
    </mc:Choice>
  </mc:AlternateContent>
  <xr:revisionPtr revIDLastSave="0" documentId="13_ncr:1_{A55F186F-54EF-4BB8-80C7-BFA140DAB3B8}" xr6:coauthVersionLast="47" xr6:coauthVersionMax="47" xr10:uidLastSave="{00000000-0000-0000-0000-000000000000}"/>
  <bookViews>
    <workbookView xWindow="-108" yWindow="-108" windowWidth="23256" windowHeight="13896" xr2:uid="{9216B270-1592-44E7-A247-948A20CDD3EC}"/>
  </bookViews>
  <sheets>
    <sheet name="OPIS" sheetId="1" r:id="rId1"/>
    <sheet name="dane" sheetId="2" r:id="rId2"/>
  </sheets>
  <definedNames>
    <definedName name="_xlnm._FilterDatabase" localSheetId="1" hidden="1">dane!#REF!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2" i="2"/>
</calcChain>
</file>

<file path=xl/sharedStrings.xml><?xml version="1.0" encoding="utf-8"?>
<sst xmlns="http://schemas.openxmlformats.org/spreadsheetml/2006/main" count="111" uniqueCount="74">
  <si>
    <t>woj</t>
  </si>
  <si>
    <t>x01</t>
  </si>
  <si>
    <t>x02</t>
  </si>
  <si>
    <t>x03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</si>
  <si>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</si>
  <si>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</si>
  <si>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</si>
  <si>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</si>
  <si>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</si>
  <si>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</si>
  <si>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</si>
  <si>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</si>
  <si>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</si>
  <si>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</si>
  <si>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</si>
  <si>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</si>
  <si>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</si>
  <si>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</si>
  <si>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</si>
  <si>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</si>
  <si>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grupa</t>
  </si>
  <si>
    <t>zmienna</t>
  </si>
  <si>
    <t>opis</t>
  </si>
  <si>
    <t>Ludność</t>
  </si>
  <si>
    <t>Powierzchnia (km^2)</t>
  </si>
  <si>
    <t>TERYTORIUM</t>
  </si>
  <si>
    <t>PKB na 1 mieszkańca w zł</t>
  </si>
  <si>
    <t>GOSPODARKA</t>
  </si>
  <si>
    <t>x04</t>
  </si>
  <si>
    <t>x05</t>
  </si>
  <si>
    <t>Podmioty nowo zarejestrowane wg sektorów własnościowych na 1 tyś mieszkańców</t>
  </si>
  <si>
    <t>Stopa bezrobocia w %</t>
  </si>
  <si>
    <t>x06</t>
  </si>
  <si>
    <t>x07</t>
  </si>
  <si>
    <t>TECHNOLOGIE</t>
  </si>
  <si>
    <t>Nakłady wewnętrzne na działalność B+R (badawcza + rozwojowa) na 1 mieszkańca</t>
  </si>
  <si>
    <t>x08</t>
  </si>
  <si>
    <t>Przedsiębiorstwa wykorzystujące technologie sztucznej inteligencji w %</t>
  </si>
  <si>
    <t>Pracownicy posiadający dostęp do Internetu w przedsiębiorstwach w %</t>
  </si>
  <si>
    <t>x09</t>
  </si>
  <si>
    <t>Jednostki administracji publicznej stosujące narzędzia Business Intelligence w %</t>
  </si>
  <si>
    <t>x10</t>
  </si>
  <si>
    <t>DEMOGRAFIA</t>
  </si>
  <si>
    <t>ŚRODOWISKO</t>
  </si>
  <si>
    <t>ENERGIA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</si>
  <si>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</si>
  <si>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</si>
  <si>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</si>
  <si>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</si>
  <si>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</si>
  <si>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</si>
  <si>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</si>
  <si>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</si>
  <si>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</si>
  <si>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</si>
  <si>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</si>
  <si>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</si>
  <si>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</si>
  <si>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</si>
  <si>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Urodzenia żywe na 10 tyś mieszkańców</t>
  </si>
  <si>
    <t>Gęstość zaludnienia</t>
  </si>
  <si>
    <t>x25</t>
  </si>
  <si>
    <t>Rozwody na 10 tyś ludności</t>
  </si>
  <si>
    <t>Liczba rowerow publicznych na 1 tyś mieszkańców</t>
  </si>
  <si>
    <t>KOMUNIKACJA</t>
  </si>
  <si>
    <t>Przewozy pasażerskie na 1 mieszkańca</t>
  </si>
  <si>
    <t>linie kolejowe na 100 km^2</t>
  </si>
  <si>
    <t>Emisja zanieczyszczeń gazowych na 1 km^2</t>
  </si>
  <si>
    <t>Emisja zanieczyszczeń płynowych na 1 km^2</t>
  </si>
  <si>
    <t>Masa wytworzonych odpadów komunalnych przez jednego mieszkańca w kg</t>
  </si>
  <si>
    <t>Dzikie wysypiska na 100 km2 powierzchni ogółem</t>
  </si>
  <si>
    <t>Moc zainstalowana w elektrowniach na 10 tyś mieszkańców</t>
  </si>
  <si>
    <t>Moc osiągalna w elektrowniach na 10 tyś mieszkańców</t>
  </si>
  <si>
    <t>Zużycie energii elektrycznej wg przemyśle [GWh na mieszkańca]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</si>
</sst>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3" fontId="0" fillId="0" borderId="0" xfId="0" applyNumberFormat="1"/>
    <xf numFmtId="0" fontId="1" fillId="0" borderId="0" xfId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C8A5-4B3B-4F2D-8234-B24D6956FC6D}">
  <dimension ref="A1:D30"/>
  <sheetViews>
    <sheetView tabSelected="1" topLeftCell="A4" workbookViewId="0">
      <selection activeCell="A24" sqref="A24"/>
    </sheetView>
  </sheetViews>
  <sheetFormatPr defaultRowHeight="14.4" x14ac:dyDescent="0.3"/>
  <cols>
    <col min="1" max="1" width="13.21875" bestFit="1" customWidth="1"/>
    <col min="2" max="2" width="7.77734375" bestFit="1" customWidth="1"/>
    <col min="3" max="3" width="68.44140625" bestFit="1" customWidth="1"/>
    <col min="4" max="4" width="42.77734375" bestFit="1" customWidth="1"/>
  </cols>
  <sheetData>
    <row r="1" spans="1:4" x14ac:dyDescent="0.3">
      <c r="A1" t="s">
        <v>20</v>
      </c>
      <c r="B1" t="s">
        <v>21</v>
      </c>
      <c r="C1" t="s">
        <v>22</v>
      </c>
    </row>
    <row r="2" spans="1:4" x14ac:dyDescent="0.3">
      <c r="A2" t="s">
        <v>25</v>
      </c>
      <c r="B2" t="s">
        <v>1</v>
      </c>
      <c r="C2" t="s">
        <v>23</v>
      </c>
    </row>
    <row r="3" spans="1:4" x14ac:dyDescent="0.3">
      <c r="A3" t="s">
        <v>25</v>
      </c>
      <c r="B3" t="s">
        <v>2</v>
      </c>
      <c r="C3" t="s">
        <v>24</v>
      </c>
      <c r="D3" s="1"/>
    </row>
    <row r="4" spans="1:4" x14ac:dyDescent="0.3">
      <c r="A4" t="s">
        <v>27</v>
      </c>
      <c r="B4" t="s">
        <v>3</v>
      </c>
      <c r="C4" t="s">
        <v>26</v>
      </c>
    </row>
    <row r="5" spans="1:4" x14ac:dyDescent="0.3">
      <c r="A5" t="s">
        <v>27</v>
      </c>
      <c r="B5" t="s">
        <v>28</v>
      </c>
      <c r="C5" s="2" t="s">
        <v>31</v>
      </c>
    </row>
    <row r="6" spans="1:4" x14ac:dyDescent="0.3">
      <c r="A6" t="s">
        <v>27</v>
      </c>
      <c r="B6" t="s">
        <v>29</v>
      </c>
      <c r="C6" t="s">
        <v>30</v>
      </c>
    </row>
    <row r="7" spans="1:4" x14ac:dyDescent="0.3">
      <c r="A7" t="s">
        <v>34</v>
      </c>
      <c r="B7" t="s">
        <v>32</v>
      </c>
      <c r="C7" t="s">
        <v>35</v>
      </c>
    </row>
    <row r="8" spans="1:4" x14ac:dyDescent="0.3">
      <c r="A8" t="s">
        <v>34</v>
      </c>
      <c r="B8" t="s">
        <v>33</v>
      </c>
      <c r="C8" t="s">
        <v>37</v>
      </c>
    </row>
    <row r="9" spans="1:4" x14ac:dyDescent="0.3">
      <c r="A9" t="s">
        <v>34</v>
      </c>
      <c r="B9" t="s">
        <v>36</v>
      </c>
      <c r="C9" t="s">
        <v>38</v>
      </c>
    </row>
    <row r="10" spans="1:4" x14ac:dyDescent="0.3">
      <c r="A10" t="s">
        <v>34</v>
      </c>
      <c r="B10" t="s">
        <v>39</v>
      </c>
      <c r="C10" t="s">
        <v>40</v>
      </c>
    </row>
    <row r="11" spans="1:4" x14ac:dyDescent="0.3">
      <c r="A11" t="s">
        <v>42</v>
      </c>
      <c r="B11" t="s">
        <v>41</v>
      </c>
      <c r="C11" t="s">
        <v>59</v>
      </c>
    </row>
    <row r="12" spans="1:4" x14ac:dyDescent="0.3">
      <c r="A12" t="s">
        <v>42</v>
      </c>
      <c r="B12" t="s">
        <v>45</v>
      </c>
      <c r="C12" t="s">
        <v>60</v>
      </c>
    </row>
    <row r="13" spans="1:4" x14ac:dyDescent="0.3">
      <c r="A13" t="s">
        <v>42</v>
      </c>
      <c r="B13" t="s">
        <v>46</v>
      </c>
      <c r="C13" t="s">
        <v>62</v>
      </c>
    </row>
    <row r="14" spans="1:4" x14ac:dyDescent="0.3">
      <c r="A14" t="s">
        <v>64</v>
      </c>
      <c r="B14" t="s">
        <v>47</v>
      </c>
      <c r="C14" t="s">
        <v>63</v>
      </c>
    </row>
    <row r="15" spans="1:4" x14ac:dyDescent="0.3">
      <c r="A15" t="s">
        <v>64</v>
      </c>
      <c r="B15" t="s">
        <v>48</v>
      </c>
      <c r="C15" t="s">
        <v>65</v>
      </c>
    </row>
    <row r="16" spans="1:4" x14ac:dyDescent="0.3">
      <c r="A16" t="s">
        <v>64</v>
      </c>
      <c r="B16" t="s">
        <v>49</v>
      </c>
      <c r="C16" t="s">
        <v>66</v>
      </c>
    </row>
    <row r="17" spans="1:3" x14ac:dyDescent="0.3">
      <c r="A17" t="s">
        <v>43</v>
      </c>
      <c r="B17" t="s">
        <v>50</v>
      </c>
      <c r="C17" t="s">
        <v>67</v>
      </c>
    </row>
    <row r="18" spans="1:3" x14ac:dyDescent="0.3">
      <c r="A18" t="s">
        <v>43</v>
      </c>
      <c r="B18" t="s">
        <v>51</v>
      </c>
      <c r="C18" t="s">
        <v>68</v>
      </c>
    </row>
    <row r="19" spans="1:3" x14ac:dyDescent="0.3">
      <c r="A19" t="s">
        <v>43</v>
      </c>
      <c r="B19" t="s">
        <v>52</v>
      </c>
      <c r="C19" t="s">
        <v>69</v>
      </c>
    </row>
    <row r="20" spans="1:3" x14ac:dyDescent="0.3">
      <c r="A20" t="s">
        <v>43</v>
      </c>
      <c r="B20" t="s">
        <v>53</v>
      </c>
      <c r="C20" t="s">
        <v>70</v>
      </c>
    </row>
    <row r="21" spans="1:3" x14ac:dyDescent="0.3">
      <c r="A21" t="s">
        <v>44</v>
      </c>
      <c r="B21" t="s">
        <v>54</v>
      </c>
      <c r="C21" t="s">
        <v>71</v>
      </c>
    </row>
    <row r="22" spans="1:3" x14ac:dyDescent="0.3">
      <c r="A22" t="s">
        <v>44</v>
      </c>
      <c r="B22" t="s">
        <v>55</v>
      </c>
      <c r="C22" t="s">
        <v>72</v>
      </c>
    </row>
    <row r="23" spans="1:3" x14ac:dyDescent="0.3">
      <c r="A23" t="s">
        <v>44</v>
      </c>
      <c r="B23" t="s">
        <v>56</v>
      </c>
      <c r="C23" t="s">
        <v>73</v>
      </c>
    </row>
    <row r="24" spans="1:3" x14ac:dyDescent="0.3">
      <c r="B24" t="s">
        <v>57</v>
      </c>
    </row>
    <row r="25" spans="1:3" x14ac:dyDescent="0.3">
      <c r="B25" t="s">
        <v>58</v>
      </c>
    </row>
    <row r="26" spans="1:3" x14ac:dyDescent="0.3">
      <c r="B26" t="s">
        <v>61</v>
      </c>
    </row>
    <row r="30" spans="1:3" x14ac:dyDescent="0.3">
      <c r="C30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8E20-25A9-4FEB-8602-D074DAF38569}">
  <dimension ref="A1:W17"/>
  <sheetViews>
    <sheetView topLeftCell="J1" workbookViewId="0">
      <selection activeCell="Z13" sqref="Z13"/>
    </sheetView>
  </sheetViews>
  <sheetFormatPr defaultRowHeight="14.4" x14ac:dyDescent="0.3"/>
  <cols>
    <col min="1" max="1" width="19.21875" bestFit="1" customWidth="1"/>
    <col min="2" max="2" width="8" bestFit="1" customWidth="1"/>
    <col min="3" max="3" width="6" bestFit="1" customWidth="1"/>
    <col min="4" max="4" width="7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28</v>
      </c>
      <c r="F1" t="s">
        <v>29</v>
      </c>
      <c r="G1" t="s">
        <v>32</v>
      </c>
      <c r="H1" t="s">
        <v>33</v>
      </c>
      <c r="I1" t="s">
        <v>36</v>
      </c>
      <c r="J1" t="s">
        <v>39</v>
      </c>
      <c r="K1" t="s">
        <v>41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</row>
    <row r="2" spans="1:23" x14ac:dyDescent="0.3">
      <c r="A2" t="s">
        <v>4</v>
      </c>
      <c r="B2">
        <v>2879271</v>
      </c>
      <c r="C2">
        <v>19947</v>
      </c>
      <c r="D2">
        <v>103643</v>
      </c>
      <c r="E2">
        <v>4.8310000000000004</v>
      </c>
      <c r="F2">
        <v>9.4475302949948095</v>
      </c>
      <c r="G2">
        <v>1495.5</v>
      </c>
      <c r="H2">
        <v>6.95</v>
      </c>
      <c r="I2">
        <v>54.95</v>
      </c>
      <c r="J2">
        <v>11.2</v>
      </c>
      <c r="K2">
        <v>63.189605980124824</v>
      </c>
      <c r="L2">
        <f>B2/C2</f>
        <v>144.34606707775606</v>
      </c>
      <c r="M2">
        <v>16.2</v>
      </c>
      <c r="N2">
        <v>0.94</v>
      </c>
      <c r="O2">
        <v>78.12</v>
      </c>
      <c r="P2">
        <v>9.1999999999999993</v>
      </c>
      <c r="Q2">
        <v>619</v>
      </c>
      <c r="R2">
        <v>0.04</v>
      </c>
      <c r="S2" s="3">
        <v>438</v>
      </c>
      <c r="T2">
        <v>1.1000000000000001</v>
      </c>
      <c r="U2">
        <v>15.854360357187634</v>
      </c>
      <c r="V2">
        <v>14.901341346472771</v>
      </c>
      <c r="W2">
        <v>2811.822853770972</v>
      </c>
    </row>
    <row r="3" spans="1:23" x14ac:dyDescent="0.3">
      <c r="A3" t="s">
        <v>5</v>
      </c>
      <c r="B3">
        <v>1996003</v>
      </c>
      <c r="C3">
        <v>17971</v>
      </c>
      <c r="D3">
        <v>78539</v>
      </c>
      <c r="E3">
        <v>7.5298999999999996</v>
      </c>
      <c r="F3">
        <v>7.3837564372398239</v>
      </c>
      <c r="G3">
        <v>583.9</v>
      </c>
      <c r="H3">
        <v>3.3</v>
      </c>
      <c r="I3">
        <v>47</v>
      </c>
      <c r="J3">
        <v>5.45</v>
      </c>
      <c r="K3">
        <v>60.671251496114991</v>
      </c>
      <c r="L3">
        <f t="shared" ref="L3:L17" si="0">B3/C3</f>
        <v>111.06799844193422</v>
      </c>
      <c r="M3">
        <v>17.600000000000001</v>
      </c>
      <c r="N3">
        <v>0.42</v>
      </c>
      <c r="O3">
        <v>81.790000000000006</v>
      </c>
      <c r="P3">
        <v>6.7</v>
      </c>
      <c r="Q3">
        <v>484.14</v>
      </c>
      <c r="R3">
        <v>0.08</v>
      </c>
      <c r="S3" s="3">
        <v>373.2</v>
      </c>
      <c r="T3">
        <v>0.2</v>
      </c>
      <c r="U3">
        <v>20.123216247670971</v>
      </c>
      <c r="V3">
        <v>19.783036398241887</v>
      </c>
      <c r="W3">
        <v>2117.2312867265227</v>
      </c>
    </row>
    <row r="4" spans="1:23" x14ac:dyDescent="0.3">
      <c r="A4" t="s">
        <v>6</v>
      </c>
      <c r="B4">
        <v>2011047</v>
      </c>
      <c r="C4">
        <v>25122</v>
      </c>
      <c r="D4">
        <v>68770</v>
      </c>
      <c r="E4">
        <v>7.9032</v>
      </c>
      <c r="F4">
        <v>6.5170033320951717</v>
      </c>
      <c r="G4">
        <v>798.6</v>
      </c>
      <c r="H4">
        <v>3.3</v>
      </c>
      <c r="I4">
        <v>54.95</v>
      </c>
      <c r="J4">
        <v>8.4499999999999993</v>
      </c>
      <c r="K4">
        <v>62.415249370104235</v>
      </c>
      <c r="L4">
        <f t="shared" si="0"/>
        <v>80.051229997611657</v>
      </c>
      <c r="M4">
        <v>15.7</v>
      </c>
      <c r="N4">
        <v>0.44</v>
      </c>
      <c r="O4">
        <v>60.22</v>
      </c>
      <c r="P4">
        <v>4.4000000000000004</v>
      </c>
      <c r="Q4">
        <v>202.35</v>
      </c>
      <c r="R4">
        <v>0.03</v>
      </c>
      <c r="S4" s="3">
        <v>278</v>
      </c>
      <c r="T4">
        <v>0.5</v>
      </c>
      <c r="U4">
        <v>10.115129084501756</v>
      </c>
      <c r="V4">
        <v>9.7764995049842192</v>
      </c>
      <c r="W4">
        <v>1405.2381669846602</v>
      </c>
    </row>
    <row r="5" spans="1:23" x14ac:dyDescent="0.3">
      <c r="A5" t="s">
        <v>7</v>
      </c>
      <c r="B5">
        <v>975023</v>
      </c>
      <c r="C5">
        <v>13988</v>
      </c>
      <c r="D5">
        <v>77733</v>
      </c>
      <c r="E5">
        <v>4.7510000000000003</v>
      </c>
      <c r="F5">
        <v>9.1649120072039327</v>
      </c>
      <c r="G5">
        <v>297</v>
      </c>
      <c r="H5">
        <v>4.95</v>
      </c>
      <c r="I5">
        <v>47</v>
      </c>
      <c r="J5">
        <v>2.6</v>
      </c>
      <c r="K5">
        <v>59.998584648772386</v>
      </c>
      <c r="L5">
        <f t="shared" si="0"/>
        <v>69.704246496997428</v>
      </c>
      <c r="M5">
        <v>15.7</v>
      </c>
      <c r="N5">
        <v>0.42</v>
      </c>
      <c r="O5">
        <v>45.36</v>
      </c>
      <c r="P5">
        <v>6.5</v>
      </c>
      <c r="Q5">
        <v>141.97999999999999</v>
      </c>
      <c r="R5">
        <v>0.06</v>
      </c>
      <c r="S5" s="3">
        <v>440.5</v>
      </c>
      <c r="T5">
        <v>0.2</v>
      </c>
      <c r="U5">
        <v>20.376955210287349</v>
      </c>
      <c r="V5">
        <v>20.019014936057921</v>
      </c>
      <c r="W5">
        <v>1832.777278074466</v>
      </c>
    </row>
    <row r="6" spans="1:23" x14ac:dyDescent="0.3">
      <c r="A6" t="s">
        <v>8</v>
      </c>
      <c r="B6">
        <v>2362519</v>
      </c>
      <c r="C6">
        <v>18219</v>
      </c>
      <c r="D6">
        <v>92091</v>
      </c>
      <c r="E6">
        <v>5.7403000000000004</v>
      </c>
      <c r="F6">
        <v>7.9114707648912024</v>
      </c>
      <c r="G6">
        <v>849.1</v>
      </c>
      <c r="H6">
        <v>4.95</v>
      </c>
      <c r="I6">
        <v>54.95</v>
      </c>
      <c r="J6">
        <v>8.4499999999999993</v>
      </c>
      <c r="K6">
        <v>62.860870113637183</v>
      </c>
      <c r="L6">
        <f t="shared" si="0"/>
        <v>129.67336297272078</v>
      </c>
      <c r="M6">
        <v>15.6</v>
      </c>
      <c r="N6">
        <v>0.96</v>
      </c>
      <c r="O6">
        <v>86.44</v>
      </c>
      <c r="P6">
        <v>6</v>
      </c>
      <c r="Q6">
        <v>1784.18</v>
      </c>
      <c r="R6">
        <v>0.06</v>
      </c>
      <c r="S6" s="3">
        <v>375.1</v>
      </c>
      <c r="T6">
        <v>0.9</v>
      </c>
      <c r="U6">
        <v>34.398453515082842</v>
      </c>
      <c r="V6">
        <v>34.253692774534301</v>
      </c>
      <c r="W6">
        <v>3733.3033088834418</v>
      </c>
    </row>
    <row r="7" spans="1:23" x14ac:dyDescent="0.3">
      <c r="A7" t="s">
        <v>9</v>
      </c>
      <c r="B7">
        <v>3429632</v>
      </c>
      <c r="C7">
        <v>15184</v>
      </c>
      <c r="D7">
        <v>87269</v>
      </c>
      <c r="E7">
        <v>4.5145999999999997</v>
      </c>
      <c r="F7">
        <v>9.3418185974471886</v>
      </c>
      <c r="G7">
        <v>2156.4</v>
      </c>
      <c r="H7">
        <v>6.95</v>
      </c>
      <c r="I7">
        <v>65.8</v>
      </c>
      <c r="J7">
        <v>5.45</v>
      </c>
      <c r="K7">
        <v>77.541847055310896</v>
      </c>
      <c r="L7">
        <f t="shared" si="0"/>
        <v>225.87144362486828</v>
      </c>
      <c r="M7">
        <v>12.7</v>
      </c>
      <c r="N7">
        <v>0.39</v>
      </c>
      <c r="O7">
        <v>118.01</v>
      </c>
      <c r="P7">
        <v>7.1</v>
      </c>
      <c r="Q7">
        <v>381.87</v>
      </c>
      <c r="R7">
        <v>0.05</v>
      </c>
      <c r="S7" s="3">
        <v>366.4</v>
      </c>
      <c r="T7">
        <v>1</v>
      </c>
      <c r="U7">
        <v>9.1951556318578778</v>
      </c>
      <c r="V7">
        <v>8.9738490893483611</v>
      </c>
      <c r="W7">
        <v>1497.8283384339777</v>
      </c>
    </row>
    <row r="8" spans="1:23" x14ac:dyDescent="0.3">
      <c r="A8" t="s">
        <v>10</v>
      </c>
      <c r="B8">
        <v>5510527</v>
      </c>
      <c r="C8">
        <v>35559</v>
      </c>
      <c r="D8">
        <v>283728</v>
      </c>
      <c r="E8">
        <v>4.3654999999999999</v>
      </c>
      <c r="F8">
        <v>10.809310978786604</v>
      </c>
      <c r="G8">
        <v>3367.9</v>
      </c>
      <c r="H8">
        <v>9.4</v>
      </c>
      <c r="I8">
        <v>65.8</v>
      </c>
      <c r="J8">
        <v>11.2</v>
      </c>
      <c r="K8">
        <v>76.604288482753091</v>
      </c>
      <c r="L8">
        <f t="shared" si="0"/>
        <v>154.96855929581821</v>
      </c>
      <c r="M8">
        <v>15.5</v>
      </c>
      <c r="N8">
        <v>0.81</v>
      </c>
      <c r="O8">
        <v>153.68</v>
      </c>
      <c r="P8">
        <v>5</v>
      </c>
      <c r="Q8">
        <v>768.75</v>
      </c>
      <c r="R8">
        <v>0.04</v>
      </c>
      <c r="S8" s="3">
        <v>395.7</v>
      </c>
      <c r="T8">
        <v>0.5</v>
      </c>
      <c r="U8">
        <v>17.794123865104009</v>
      </c>
      <c r="V8">
        <v>17.598861234143303</v>
      </c>
      <c r="W8">
        <v>2427.5355152057145</v>
      </c>
    </row>
    <row r="9" spans="1:23" x14ac:dyDescent="0.3">
      <c r="A9" t="s">
        <v>11</v>
      </c>
      <c r="B9">
        <v>936725</v>
      </c>
      <c r="C9">
        <v>9411</v>
      </c>
      <c r="D9">
        <v>78488</v>
      </c>
      <c r="E9">
        <v>6.1458000000000004</v>
      </c>
      <c r="F9">
        <v>6.2280818810216445</v>
      </c>
      <c r="G9">
        <v>578.1</v>
      </c>
      <c r="H9">
        <v>4.95</v>
      </c>
      <c r="I9">
        <v>47</v>
      </c>
      <c r="J9">
        <v>2.6</v>
      </c>
      <c r="K9">
        <v>57.754410312525025</v>
      </c>
      <c r="L9">
        <f t="shared" si="0"/>
        <v>99.535118478376361</v>
      </c>
      <c r="M9">
        <v>13.5</v>
      </c>
      <c r="N9">
        <v>0.08</v>
      </c>
      <c r="O9">
        <v>29.91</v>
      </c>
      <c r="P9">
        <v>8.3000000000000007</v>
      </c>
      <c r="Q9">
        <v>1378.62</v>
      </c>
      <c r="R9">
        <v>0.08</v>
      </c>
      <c r="S9" s="3">
        <v>417.8</v>
      </c>
      <c r="T9">
        <v>1.5</v>
      </c>
      <c r="U9">
        <v>48.548933785262484</v>
      </c>
      <c r="V9">
        <v>47.620166003896557</v>
      </c>
      <c r="W9">
        <v>3359.5772505271025</v>
      </c>
    </row>
    <row r="10" spans="1:23" x14ac:dyDescent="0.3">
      <c r="A10" t="s">
        <v>12</v>
      </c>
      <c r="B10">
        <v>2071676</v>
      </c>
      <c r="C10">
        <v>17845</v>
      </c>
      <c r="D10">
        <v>71021</v>
      </c>
      <c r="E10">
        <v>9.0314999999999994</v>
      </c>
      <c r="F10">
        <v>6.3764797198017451</v>
      </c>
      <c r="G10">
        <v>703</v>
      </c>
      <c r="H10">
        <v>3.3</v>
      </c>
      <c r="I10">
        <v>47</v>
      </c>
      <c r="J10">
        <v>5.45</v>
      </c>
      <c r="K10">
        <v>66.868564389412242</v>
      </c>
      <c r="L10">
        <f t="shared" si="0"/>
        <v>116.09279910339031</v>
      </c>
      <c r="M10">
        <v>11.2</v>
      </c>
      <c r="N10">
        <v>7.0000000000000007E-2</v>
      </c>
      <c r="O10">
        <v>22.51</v>
      </c>
      <c r="P10">
        <v>5.5</v>
      </c>
      <c r="Q10">
        <v>87.19</v>
      </c>
      <c r="R10">
        <v>0.04</v>
      </c>
      <c r="S10" s="3">
        <v>263.39999999999998</v>
      </c>
      <c r="T10">
        <v>0.4</v>
      </c>
      <c r="U10">
        <v>11.169217580355228</v>
      </c>
      <c r="V10">
        <v>11.135911213915691</v>
      </c>
      <c r="W10">
        <v>1214.4756226359721</v>
      </c>
    </row>
    <row r="11" spans="1:23" x14ac:dyDescent="0.3">
      <c r="A11" t="s">
        <v>13</v>
      </c>
      <c r="B11">
        <v>1138216</v>
      </c>
      <c r="C11">
        <v>20187</v>
      </c>
      <c r="D11">
        <v>75601</v>
      </c>
      <c r="E11">
        <v>7.2850999999999999</v>
      </c>
      <c r="F11">
        <v>6.5918946843129955</v>
      </c>
      <c r="G11">
        <v>449.3</v>
      </c>
      <c r="H11">
        <v>4.95</v>
      </c>
      <c r="I11">
        <v>47</v>
      </c>
      <c r="J11">
        <v>5.45</v>
      </c>
      <c r="K11">
        <v>66.393373489741847</v>
      </c>
      <c r="L11">
        <f t="shared" si="0"/>
        <v>56.383613216426411</v>
      </c>
      <c r="M11">
        <v>14.8</v>
      </c>
      <c r="N11">
        <v>0.82</v>
      </c>
      <c r="O11">
        <v>56.6</v>
      </c>
      <c r="P11">
        <v>3.8</v>
      </c>
      <c r="Q11">
        <v>87.58</v>
      </c>
      <c r="R11">
        <v>0.02</v>
      </c>
      <c r="S11" s="3">
        <v>304.5</v>
      </c>
      <c r="T11">
        <v>0.6</v>
      </c>
      <c r="U11">
        <v>12.335092811909163</v>
      </c>
      <c r="V11">
        <v>11.911623101414845</v>
      </c>
      <c r="W11">
        <v>1095.5741265278295</v>
      </c>
    </row>
    <row r="12" spans="1:23" x14ac:dyDescent="0.3">
      <c r="A12" t="s">
        <v>14</v>
      </c>
      <c r="B12">
        <v>2359573</v>
      </c>
      <c r="C12">
        <v>19547</v>
      </c>
      <c r="D12">
        <v>92806</v>
      </c>
      <c r="E12">
        <v>5.0132000000000003</v>
      </c>
      <c r="F12">
        <v>10.38111556624864</v>
      </c>
      <c r="G12">
        <v>1968.5</v>
      </c>
      <c r="H12">
        <v>6.95</v>
      </c>
      <c r="I12">
        <v>54.95</v>
      </c>
      <c r="J12">
        <v>2.6</v>
      </c>
      <c r="K12">
        <v>74.678766030972554</v>
      </c>
      <c r="L12">
        <f t="shared" si="0"/>
        <v>120.71279480227145</v>
      </c>
      <c r="M12">
        <v>15.9</v>
      </c>
      <c r="N12">
        <v>1.79</v>
      </c>
      <c r="O12">
        <v>124.78</v>
      </c>
      <c r="P12">
        <v>6.4</v>
      </c>
      <c r="Q12">
        <v>303.98</v>
      </c>
      <c r="R12">
        <v>0.02</v>
      </c>
      <c r="S12" s="3">
        <v>398.3</v>
      </c>
      <c r="T12">
        <v>0.9</v>
      </c>
      <c r="U12">
        <v>17.026809511720977</v>
      </c>
      <c r="V12">
        <v>16.482643257911494</v>
      </c>
      <c r="W12">
        <v>1867.7108103881508</v>
      </c>
    </row>
    <row r="13" spans="1:23" x14ac:dyDescent="0.3">
      <c r="A13" t="s">
        <v>15</v>
      </c>
      <c r="B13">
        <v>4320130</v>
      </c>
      <c r="C13">
        <v>12334</v>
      </c>
      <c r="D13">
        <v>97509</v>
      </c>
      <c r="E13">
        <v>3.9363999999999999</v>
      </c>
      <c r="F13">
        <v>6.8865983199579643</v>
      </c>
      <c r="G13">
        <v>864.3</v>
      </c>
      <c r="H13">
        <v>4.95</v>
      </c>
      <c r="I13">
        <v>54.95</v>
      </c>
      <c r="J13">
        <v>2.6</v>
      </c>
      <c r="K13">
        <v>58.792212271389978</v>
      </c>
      <c r="L13">
        <f t="shared" si="0"/>
        <v>350.26187773633859</v>
      </c>
      <c r="M13">
        <v>17.2</v>
      </c>
      <c r="N13">
        <v>1.76</v>
      </c>
      <c r="O13">
        <v>79.680000000000007</v>
      </c>
      <c r="P13">
        <v>15.3</v>
      </c>
      <c r="Q13">
        <v>2173.48</v>
      </c>
      <c r="R13">
        <v>0.25</v>
      </c>
      <c r="S13" s="3">
        <v>408.5</v>
      </c>
      <c r="T13">
        <v>2.5</v>
      </c>
      <c r="U13">
        <v>21.468103969093526</v>
      </c>
      <c r="V13">
        <v>20.739885142345255</v>
      </c>
      <c r="W13">
        <v>3464.4790781758884</v>
      </c>
    </row>
    <row r="14" spans="1:23" x14ac:dyDescent="0.3">
      <c r="A14" t="s">
        <v>16</v>
      </c>
      <c r="B14">
        <v>1168499</v>
      </c>
      <c r="C14">
        <v>11709</v>
      </c>
      <c r="D14">
        <v>74695</v>
      </c>
      <c r="E14">
        <v>8.1532</v>
      </c>
      <c r="F14">
        <v>6.7736472174986879</v>
      </c>
      <c r="G14">
        <v>438</v>
      </c>
      <c r="H14">
        <v>3.3</v>
      </c>
      <c r="I14">
        <v>47</v>
      </c>
      <c r="J14">
        <v>5.45</v>
      </c>
      <c r="K14">
        <v>55.387296009667104</v>
      </c>
      <c r="L14">
        <f t="shared" si="0"/>
        <v>99.794944060124692</v>
      </c>
      <c r="M14">
        <v>7.5</v>
      </c>
      <c r="N14">
        <v>0.48</v>
      </c>
      <c r="O14">
        <v>41.18</v>
      </c>
      <c r="P14">
        <v>6.2</v>
      </c>
      <c r="Q14">
        <v>1074.54</v>
      </c>
      <c r="R14">
        <v>7.0000000000000007E-2</v>
      </c>
      <c r="S14" s="3">
        <v>293.5</v>
      </c>
      <c r="T14">
        <v>0.5</v>
      </c>
      <c r="U14">
        <v>19.438613126754923</v>
      </c>
      <c r="V14">
        <v>19.581531520352176</v>
      </c>
      <c r="W14">
        <v>2427.0452948611851</v>
      </c>
    </row>
    <row r="15" spans="1:23" x14ac:dyDescent="0.3">
      <c r="A15" t="s">
        <v>17</v>
      </c>
      <c r="B15">
        <v>1357910</v>
      </c>
      <c r="C15">
        <v>24174</v>
      </c>
      <c r="D15">
        <v>69137</v>
      </c>
      <c r="E15">
        <v>8.8394999999999992</v>
      </c>
      <c r="F15">
        <v>6.9039921644291598</v>
      </c>
      <c r="G15">
        <v>511.2</v>
      </c>
      <c r="H15">
        <v>3.3</v>
      </c>
      <c r="I15">
        <v>47</v>
      </c>
      <c r="J15">
        <v>8.4499999999999993</v>
      </c>
      <c r="K15">
        <v>59.481114359567279</v>
      </c>
      <c r="L15">
        <f t="shared" si="0"/>
        <v>56.172333912467941</v>
      </c>
      <c r="M15">
        <v>18.399999999999999</v>
      </c>
      <c r="N15">
        <v>0</v>
      </c>
      <c r="O15">
        <v>47.76</v>
      </c>
      <c r="P15">
        <v>4.5999999999999996</v>
      </c>
      <c r="Q15">
        <v>55.63</v>
      </c>
      <c r="R15">
        <v>0.01</v>
      </c>
      <c r="S15" s="3">
        <v>329.4</v>
      </c>
      <c r="T15">
        <v>0.1</v>
      </c>
      <c r="U15">
        <v>12.713655544181869</v>
      </c>
      <c r="V15">
        <v>12.492727794920135</v>
      </c>
      <c r="W15">
        <v>813.75054311405029</v>
      </c>
    </row>
    <row r="16" spans="1:23" x14ac:dyDescent="0.3">
      <c r="A16" t="s">
        <v>18</v>
      </c>
      <c r="B16">
        <v>3487973</v>
      </c>
      <c r="C16">
        <v>29827</v>
      </c>
      <c r="D16">
        <v>102129</v>
      </c>
      <c r="E16">
        <v>3.2907000000000002</v>
      </c>
      <c r="F16">
        <v>8.7649761050329218</v>
      </c>
      <c r="G16">
        <v>908.5</v>
      </c>
      <c r="H16">
        <v>4.95</v>
      </c>
      <c r="I16">
        <v>54.95</v>
      </c>
      <c r="J16">
        <v>5.45</v>
      </c>
      <c r="K16">
        <v>72.973615334751727</v>
      </c>
      <c r="L16">
        <f t="shared" si="0"/>
        <v>116.94012136654709</v>
      </c>
      <c r="M16">
        <v>12.8</v>
      </c>
      <c r="N16">
        <v>0.25</v>
      </c>
      <c r="O16">
        <v>90.44</v>
      </c>
      <c r="P16">
        <v>6.4</v>
      </c>
      <c r="Q16">
        <v>209.73</v>
      </c>
      <c r="R16">
        <v>0.03</v>
      </c>
      <c r="S16" s="3">
        <v>401</v>
      </c>
      <c r="T16">
        <v>0.2</v>
      </c>
      <c r="U16">
        <v>21.499306330639602</v>
      </c>
      <c r="V16">
        <v>19.234667240830134</v>
      </c>
      <c r="W16">
        <v>1757.1810332247412</v>
      </c>
    </row>
    <row r="17" spans="1:23" x14ac:dyDescent="0.3">
      <c r="A17" t="s">
        <v>19</v>
      </c>
      <c r="B17">
        <v>1631784</v>
      </c>
      <c r="C17">
        <v>22909</v>
      </c>
      <c r="D17">
        <v>79783</v>
      </c>
      <c r="E17">
        <v>7.2340999999999998</v>
      </c>
      <c r="F17">
        <v>9.0980178749148184</v>
      </c>
      <c r="G17">
        <v>576.4</v>
      </c>
      <c r="H17">
        <v>3.3</v>
      </c>
      <c r="I17">
        <v>54.95</v>
      </c>
      <c r="J17">
        <v>2.6</v>
      </c>
      <c r="K17">
        <v>58.684237619684957</v>
      </c>
      <c r="L17">
        <f t="shared" si="0"/>
        <v>71.228949321227461</v>
      </c>
      <c r="M17">
        <v>17.899999999999999</v>
      </c>
      <c r="N17">
        <v>0.87</v>
      </c>
      <c r="O17">
        <v>117.13</v>
      </c>
      <c r="P17">
        <v>5.4</v>
      </c>
      <c r="Q17">
        <v>227.57</v>
      </c>
      <c r="R17">
        <v>0.04</v>
      </c>
      <c r="S17" s="3">
        <v>422.9</v>
      </c>
      <c r="T17">
        <v>3.8</v>
      </c>
      <c r="U17">
        <v>41.522039681722575</v>
      </c>
      <c r="V17">
        <v>41.088771553097715</v>
      </c>
      <c r="W17">
        <v>1622.7637971692332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OPIS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Faltynowski</dc:creator>
  <cp:lastModifiedBy>Daniel Faltynowski</cp:lastModifiedBy>
  <dcterms:created xsi:type="dcterms:W3CDTF">2026-03-19T20:39:35Z</dcterms:created>
  <dcterms:modified xsi:type="dcterms:W3CDTF">2026-03-20T21:16:22Z</dcterms:modified>
</cp:coreProperties>
</file>