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pha\Desktop\Repositories\poland-ab-mda\data\cleaned_data\"/>
    </mc:Choice>
  </mc:AlternateContent>
  <xr:revisionPtr revIDLastSave="0" documentId="13_ncr:1_{71F0098A-CE26-4FAA-8C8B-E9CAEBF59895}" xr6:coauthVersionLast="47" xr6:coauthVersionMax="47" xr10:uidLastSave="{00000000-0000-0000-0000-000000000000}"/>
  <bookViews>
    <workbookView xWindow="-96" yWindow="0" windowWidth="11712" windowHeight="13776" activeTab="1" xr2:uid="{E84E2F30-E922-4112-8AE8-9E12D9A82DDF}"/>
  </bookViews>
  <sheets>
    <sheet name="DESCRIPTION" sheetId="3" r:id="rId1"/>
    <sheet name="raw_data" sheetId="1" r:id="rId2"/>
    <sheet name="normalized_data" sheetId="2" r:id="rId3"/>
    <sheet name="statistics_data" sheetId="4" r:id="rId4"/>
  </sheets>
  <definedNames>
    <definedName name="_xlnm._FilterDatabase" localSheetId="0" hidden="1">DESCRIPTION!$A$1:$D$58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2" i="1"/>
</calcChain>
</file>

<file path=xl/sharedStrings.xml><?xml version="1.0" encoding="utf-8"?>
<sst xmlns="http://schemas.openxmlformats.org/spreadsheetml/2006/main" count="441" uniqueCount="150">
  <si>
    <t>x10</t>
  </si>
  <si>
    <t>x11</t>
  </si>
  <si>
    <t>x12</t>
  </si>
  <si>
    <t>x13</t>
  </si>
  <si>
    <t>x14</t>
  </si>
  <si>
    <t>x15</t>
  </si>
  <si>
    <t>x16</t>
  </si>
  <si>
    <t>x17</t>
  </si>
  <si>
    <t>x18</t>
  </si>
  <si>
    <t>x19</t>
  </si>
  <si>
    <t>x20</t>
  </si>
  <si>
    <t>x21</t>
  </si>
  <si>
    <t>x22</t>
  </si>
  <si>
    <t>x23</t>
  </si>
  <si>
    <t>x24</t>
  </si>
  <si>
    <t>x25</t>
  </si>
  <si>
    <t>x26</t>
  </si>
  <si>
    <t>x27</t>
  </si>
  <si>
    <t>x28</t>
  </si>
  <si>
    <t>x29</t>
  </si>
  <si>
    <t>x30</t>
  </si>
  <si>
    <t>x31</t>
  </si>
  <si>
    <t>x32</t>
  </si>
  <si>
    <t>x33</t>
  </si>
  <si>
    <t>x34</t>
  </si>
  <si>
    <t>x35</t>
  </si>
  <si>
    <t>x36</t>
  </si>
  <si>
    <t>x37</t>
  </si>
  <si>
    <t>x38</t>
  </si>
  <si>
    <t>x39</t>
  </si>
  <si>
    <t>x40</t>
  </si>
  <si>
    <t>x41</t>
  </si>
  <si>
    <t>x42</t>
  </si>
  <si>
    <t>x43</t>
  </si>
  <si>
    <t>x44</t>
  </si>
  <si>
    <t>x45</t>
  </si>
  <si>
    <t>x46</t>
  </si>
  <si>
    <t>x47</t>
  </si>
  <si>
    <t>x48</t>
  </si>
  <si>
    <t>x49</t>
  </si>
  <si>
    <t>x50</t>
  </si>
  <si>
    <t>x51</t>
  </si>
  <si>
    <t>x52</t>
  </si>
  <si>
    <t>x53</t>
  </si>
  <si>
    <t>x54</t>
  </si>
  <si>
    <t>x55</t>
  </si>
  <si>
    <t>x56</t>
  </si>
  <si>
    <t>x57</t>
  </si>
  <si>
    <t>DOLNOŚLĄSKIE</t>
  </si>
  <si>
    <t>KUJAWSKO-POMORSKIE</t>
  </si>
  <si>
    <t>LUBELSKIE</t>
  </si>
  <si>
    <t>LUBUSKIE</t>
  </si>
  <si>
    <t>ŁÓDZKIE</t>
  </si>
  <si>
    <t>MAŁOPOLSKIE</t>
  </si>
  <si>
    <t>MAZOWIECKIE</t>
  </si>
  <si>
    <t>OPOLSKIE</t>
  </si>
  <si>
    <t>PODKARPACKIE</t>
  </si>
  <si>
    <t>PODLASKIE</t>
  </si>
  <si>
    <t>POMORSKIE</t>
  </si>
  <si>
    <t>ŚLĄSKIE</t>
  </si>
  <si>
    <t>ŚWIĘTOKRZYSKIE</t>
  </si>
  <si>
    <t>WARMIŃSKO-MAZURSKIE</t>
  </si>
  <si>
    <t>WIELKOPOLSKIE</t>
  </si>
  <si>
    <t>ZACHODNIOPOMORSKIE</t>
  </si>
  <si>
    <t>pkb na osobę w 2023 w zl</t>
  </si>
  <si>
    <t>podmioty wpisane do rejestru REGON na 10 tys. Ludności – 2024</t>
  </si>
  <si>
    <t>dochody budżetów województw na 1 mieszkanca w roku 2024.</t>
  </si>
  <si>
    <t>nakłady inwestycyjne w przedsiębiorstwach na 1 mieszkańca w 2024</t>
  </si>
  <si>
    <t>jednostki nowo zarejestrowane w rejestrze REGON w roku 2024 na 10 tys. Ludności</t>
  </si>
  <si>
    <t>Stopa % bezrobocia w grudniu 2024</t>
  </si>
  <si>
    <t>Przeciętne miesięczne wynagrodzenia brutto w 2024</t>
  </si>
  <si>
    <t>WSPÓŁCZYNNIK AKTYWNOŚCI ZAWODOWEJ OSÓB W WIEKU 15-89 LAT w 4 kwartale 2024</t>
  </si>
  <si>
    <t xml:space="preserve"> BENEFICJENCI ŚRODOWISKOWEJ POMOCY SPOŁECZNEJ w %</t>
  </si>
  <si>
    <t>Liczba mieszkań na 1000 mieszkańców w 2024 r</t>
  </si>
  <si>
    <t xml:space="preserve"> WYDATKI BUDŻETÓW GMIN I MIAST NA PRAWACH POWIATU na 1 mieszkanca w 2024</t>
  </si>
  <si>
    <t>Wydatki budzetów gmin I miast na prawach powiatu na kulturę I ochronę dziedzictwa narodowego na 1 mieszkanca w 2024</t>
  </si>
  <si>
    <t>Wydatki budzetów gmin I miast na prawach powiatu na oświatena 1 mieszkanca w 2024</t>
  </si>
  <si>
    <t>wydatki budzetów gmin I miast na prawach powiatu na Ochrona powietrza atmosferycznego i klimatu na 1 mieszkanca w 2024</t>
  </si>
  <si>
    <t>wydatki inwestycyjne budzetów gmin I miast na prawach powiatu na 1 mieszkanca w 2024</t>
  </si>
  <si>
    <t>miejsca noclegowe na 1000 ludnosci w 2024</t>
  </si>
  <si>
    <t>udzielone noclegi ogółem styczeń-grudzień na 10000 ludności w 2024</t>
  </si>
  <si>
    <t>biblioteki publiczne na 10 000 ludności w 2024</t>
  </si>
  <si>
    <t>pozycje księgozbioru bibliotek publicznych na 1 000 ludności</t>
  </si>
  <si>
    <t>średnia liczba godzin otwarcia biblioteki publicznej po godz. 16.00 w 2024</t>
  </si>
  <si>
    <t>zajęcia prowadzone przez teatry i instytucje muzyczne, muzea oraz centra, domy, ośrodki kultury, kluby i świetlice na 1000 ludności w 2024</t>
  </si>
  <si>
    <t>uczestnicy imprez (wydarzeń kulturalnych) organizowanych przez teatry i instytucje muzyczne, muzea, galerie sztuki, kina oraz centra, ośrodki kultury, domy kultury, kluby i świetlice na 1 000 ludności w 2024</t>
  </si>
  <si>
    <t xml:space="preserve"> Lekarze pracujący bezpośrednio z pacjentem według województw w przeliczeniu na 10 tys. Mieszkańców – stan w dniu 31 grudnia 2023</t>
  </si>
  <si>
    <t>Lekarze dentyści pracujący bezpośrednio z pacjentem według województw – na 10 tys Mieszkańców – stan 31 grudnia 2023</t>
  </si>
  <si>
    <t xml:space="preserve"> Pielęgniarki pracujące bezpośrednio z pacjentem według województw na 10 tys mieszkańców – 31 grudnia 2023</t>
  </si>
  <si>
    <t>Położne na 10,000 kobiet 31 grudnia 2023</t>
  </si>
  <si>
    <t>łóżka na oddziałach kardiologicznych na 10 tys. ludności</t>
  </si>
  <si>
    <t>dzieci w przedszkolach i innych formach wychowania przedszkolnego na 1 tys. dzieci w wieku 3-5 lat 2024</t>
  </si>
  <si>
    <t>wskaznik urbanizacji 2021 - spis powszechny - ile osob % mieszka w miastach</t>
  </si>
  <si>
    <t>populacja - spis powszechny 2021</t>
  </si>
  <si>
    <t>gęstość zaludnienie (os / km2) - 2021 SP</t>
  </si>
  <si>
    <t>odsetek ludnosci w wieku produkcyjnym - 2021 sp</t>
  </si>
  <si>
    <t>odsetek ludnosci z wyksztalceniem wyzszym. 2021 sp</t>
  </si>
  <si>
    <t>emigranci - 2021 sp - odsetek emigrantów w % względem ludnosci wojewodztwa - czasowy pobyt za granica</t>
  </si>
  <si>
    <t xml:space="preserve"> LUDNOŚĆ PRZYBYŁA DO MIEJSCOWOŚCI AKTUALNEGO ZAMIESZKANIA W LATACH 2011-2021  Z INNEGO MIEJSCA W KRAJU </t>
  </si>
  <si>
    <t>Odsetek ludności w obiektach  zbiorowego zakwaterowania 2021</t>
  </si>
  <si>
    <t>Współczynnik obciążenia demograficznego (liczba osób w wieku nieprodukcyjnym na 100 osób w wieku produkcyjnym - 2024</t>
  </si>
  <si>
    <t>Przyrost naturalny na 1000 ludności. - 2024</t>
  </si>
  <si>
    <t>saldo migracji stałej na 1000 ludnosci - 2024</t>
  </si>
  <si>
    <t>liczba studentów przypadających na jednego nauczyciela akademickiego - 2024</t>
  </si>
  <si>
    <t>liczba miejsc w domach studenckich w stosunku do liczby studentow 2024 - jaki odsetek studentow domy domy studenckie są w stanie pomieścić</t>
  </si>
  <si>
    <t>studenci korzystający z domów studenckich w % ogółu studentów 2024</t>
  </si>
  <si>
    <t>studencki uczelni na 10,000 ludnosci - 2024</t>
  </si>
  <si>
    <t>studenci w wojewodztwach. liczba calkowita. 2024</t>
  </si>
  <si>
    <t>zdawalnsoc egzaminow maturalnych - 2024</t>
  </si>
  <si>
    <t>liczba rowerow publicznych na 1000 ludnosciu 2024</t>
  </si>
  <si>
    <t>drogi dla rowerow na 10,000 km2 2024</t>
  </si>
  <si>
    <t>kilometry drog publiczncyh ogolem - liczba bezwgledna - 2024</t>
  </si>
  <si>
    <t>kilometry drog publiczncyh o nawierzchni twardej - liczba bezwgledna - 2024</t>
  </si>
  <si>
    <t>ogółem (przystanki autobusowe (z trolejbusowymi) i tramwajowe, przystanki wspólne dla tramwajów i autobusów) 2024</t>
  </si>
  <si>
    <t>długość linii komunikacji miejskiej na 1000 mieszkańców 2024</t>
  </si>
  <si>
    <t>przewozy pasażerskie na 1 mieszkańca 2024</t>
  </si>
  <si>
    <t>LINIE REGULARNEJ KOMUNIKACJI AUTOBUSOWEJ  w km w 2024</t>
  </si>
  <si>
    <t>linie kolejowe ogółem na 100 km2 w 2024</t>
  </si>
  <si>
    <t>samochody osobowe ogolem 2024</t>
  </si>
  <si>
    <t>wypadki drogowe ogolem 2024</t>
  </si>
  <si>
    <t>zasoby mieszkaniowe gim komunalne 2024</t>
  </si>
  <si>
    <t>opis</t>
  </si>
  <si>
    <t>kraj</t>
  </si>
  <si>
    <t>x01</t>
  </si>
  <si>
    <t>x02</t>
  </si>
  <si>
    <t>x03</t>
  </si>
  <si>
    <t>x04</t>
  </si>
  <si>
    <t>x05</t>
  </si>
  <si>
    <t>x06</t>
  </si>
  <si>
    <t>x07</t>
  </si>
  <si>
    <t>x08</t>
  </si>
  <si>
    <t>x09</t>
  </si>
  <si>
    <t>grupa</t>
  </si>
  <si>
    <t>GOSPODARKA</t>
  </si>
  <si>
    <t>INWESTYCJE</t>
  </si>
  <si>
    <t>INSRASTRUKTURA TRANSPORTOWA</t>
  </si>
  <si>
    <t>ZASOBY LUDZKIE</t>
  </si>
  <si>
    <t>STAN MATERIALNY</t>
  </si>
  <si>
    <t>DEMOGRAFIA</t>
  </si>
  <si>
    <t>OCHRONA ZDROWIA</t>
  </si>
  <si>
    <t>KULTURA</t>
  </si>
  <si>
    <t>WARUNKI BYTOWE</t>
  </si>
  <si>
    <t>TURYSTYKA</t>
  </si>
  <si>
    <t>EDUKACJA</t>
  </si>
  <si>
    <t>zmienna_nowa</t>
  </si>
  <si>
    <t>zmienna_stara</t>
  </si>
  <si>
    <t>min</t>
  </si>
  <si>
    <t>max</t>
  </si>
  <si>
    <t>statistics</t>
  </si>
  <si>
    <t>x11a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</si>
</sst>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2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A86D6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0" fillId="13" borderId="0" xfId="0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A86D6"/>
      <color rgb="FFD15BC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BCD04-BED9-43FB-A9EC-F2FDF9191772}">
  <dimension ref="A1:D58"/>
  <sheetViews>
    <sheetView topLeftCell="B1" workbookViewId="0">
      <selection activeCell="D20" sqref="D20"/>
    </sheetView>
  </sheetViews>
  <sheetFormatPr defaultRowHeight="14.4" x14ac:dyDescent="0.3"/>
  <cols>
    <col min="1" max="1" width="30.44140625" bestFit="1" customWidth="1"/>
    <col min="2" max="2" width="14.88671875" bestFit="1" customWidth="1"/>
    <col min="3" max="3" width="15.109375" bestFit="1" customWidth="1"/>
    <col min="4" max="4" width="165.88671875" bestFit="1" customWidth="1"/>
  </cols>
  <sheetData>
    <row r="1" spans="1:4" x14ac:dyDescent="0.3">
      <c r="A1" t="s">
        <v>132</v>
      </c>
      <c r="B1" t="s">
        <v>145</v>
      </c>
      <c r="C1" t="s">
        <v>144</v>
      </c>
      <c r="D1" t="s">
        <v>121</v>
      </c>
    </row>
    <row r="2" spans="1:4" x14ac:dyDescent="0.3">
      <c r="A2" s="1" t="s">
        <v>138</v>
      </c>
      <c r="B2" s="1" t="s">
        <v>20</v>
      </c>
      <c r="C2" s="1" t="s">
        <v>123</v>
      </c>
      <c r="D2" s="1" t="s">
        <v>93</v>
      </c>
    </row>
    <row r="3" spans="1:4" x14ac:dyDescent="0.3">
      <c r="A3" s="1" t="s">
        <v>138</v>
      </c>
      <c r="B3" s="1" t="s">
        <v>21</v>
      </c>
      <c r="C3" s="1" t="s">
        <v>124</v>
      </c>
      <c r="D3" s="1" t="s">
        <v>94</v>
      </c>
    </row>
    <row r="4" spans="1:4" x14ac:dyDescent="0.3">
      <c r="A4" s="1" t="s">
        <v>138</v>
      </c>
      <c r="B4" s="1" t="s">
        <v>19</v>
      </c>
      <c r="C4" s="1" t="s">
        <v>125</v>
      </c>
      <c r="D4" s="1" t="s">
        <v>92</v>
      </c>
    </row>
    <row r="5" spans="1:4" x14ac:dyDescent="0.3">
      <c r="A5" s="1" t="s">
        <v>138</v>
      </c>
      <c r="B5" s="1" t="s">
        <v>24</v>
      </c>
      <c r="C5" s="1" t="s">
        <v>126</v>
      </c>
      <c r="D5" s="1" t="s">
        <v>97</v>
      </c>
    </row>
    <row r="6" spans="1:4" x14ac:dyDescent="0.3">
      <c r="A6" s="1" t="s">
        <v>138</v>
      </c>
      <c r="B6" s="1" t="s">
        <v>25</v>
      </c>
      <c r="C6" s="1" t="s">
        <v>127</v>
      </c>
      <c r="D6" s="1" t="s">
        <v>98</v>
      </c>
    </row>
    <row r="7" spans="1:4" x14ac:dyDescent="0.3">
      <c r="A7" s="1" t="s">
        <v>138</v>
      </c>
      <c r="B7" s="1" t="s">
        <v>28</v>
      </c>
      <c r="C7" s="1" t="s">
        <v>128</v>
      </c>
      <c r="D7" s="1" t="s">
        <v>101</v>
      </c>
    </row>
    <row r="8" spans="1:4" x14ac:dyDescent="0.3">
      <c r="A8" s="1" t="s">
        <v>138</v>
      </c>
      <c r="B8" s="1" t="s">
        <v>29</v>
      </c>
      <c r="C8" s="1" t="s">
        <v>129</v>
      </c>
      <c r="D8" s="1" t="s">
        <v>102</v>
      </c>
    </row>
    <row r="9" spans="1:4" x14ac:dyDescent="0.3">
      <c r="A9" s="2" t="s">
        <v>143</v>
      </c>
      <c r="B9" s="2" t="s">
        <v>18</v>
      </c>
      <c r="C9" s="2" t="s">
        <v>130</v>
      </c>
      <c r="D9" s="2" t="s">
        <v>91</v>
      </c>
    </row>
    <row r="10" spans="1:4" x14ac:dyDescent="0.3">
      <c r="A10" s="2" t="s">
        <v>143</v>
      </c>
      <c r="B10" s="2" t="s">
        <v>30</v>
      </c>
      <c r="C10" s="2" t="s">
        <v>131</v>
      </c>
      <c r="D10" s="2" t="s">
        <v>103</v>
      </c>
    </row>
    <row r="11" spans="1:4" x14ac:dyDescent="0.3">
      <c r="A11" s="2" t="s">
        <v>143</v>
      </c>
      <c r="B11" s="2" t="s">
        <v>33</v>
      </c>
      <c r="C11" s="2" t="s">
        <v>0</v>
      </c>
      <c r="D11" s="2" t="s">
        <v>106</v>
      </c>
    </row>
    <row r="12" spans="1:4" x14ac:dyDescent="0.3">
      <c r="A12" s="2" t="s">
        <v>143</v>
      </c>
      <c r="B12" s="2" t="s">
        <v>34</v>
      </c>
      <c r="C12" s="2" t="s">
        <v>1</v>
      </c>
      <c r="D12" s="2" t="s">
        <v>107</v>
      </c>
    </row>
    <row r="13" spans="1:4" x14ac:dyDescent="0.3">
      <c r="A13" s="2" t="s">
        <v>143</v>
      </c>
      <c r="B13" s="2" t="s">
        <v>35</v>
      </c>
      <c r="C13" s="2" t="s">
        <v>2</v>
      </c>
      <c r="D13" s="2" t="s">
        <v>108</v>
      </c>
    </row>
    <row r="14" spans="1:4" x14ac:dyDescent="0.3">
      <c r="A14" s="3" t="s">
        <v>133</v>
      </c>
      <c r="B14" s="3" t="s">
        <v>123</v>
      </c>
      <c r="C14" s="3" t="s">
        <v>3</v>
      </c>
      <c r="D14" s="3" t="s">
        <v>64</v>
      </c>
    </row>
    <row r="15" spans="1:4" x14ac:dyDescent="0.3">
      <c r="A15" s="3" t="s">
        <v>133</v>
      </c>
      <c r="B15" s="3" t="s">
        <v>124</v>
      </c>
      <c r="C15" s="3" t="s">
        <v>4</v>
      </c>
      <c r="D15" s="3" t="s">
        <v>65</v>
      </c>
    </row>
    <row r="16" spans="1:4" x14ac:dyDescent="0.3">
      <c r="A16" s="3" t="s">
        <v>133</v>
      </c>
      <c r="B16" s="3" t="s">
        <v>125</v>
      </c>
      <c r="C16" s="3" t="s">
        <v>5</v>
      </c>
      <c r="D16" s="3" t="s">
        <v>66</v>
      </c>
    </row>
    <row r="17" spans="1:4" x14ac:dyDescent="0.3">
      <c r="A17" s="3" t="s">
        <v>133</v>
      </c>
      <c r="B17" s="3" t="s">
        <v>127</v>
      </c>
      <c r="C17" s="3" t="s">
        <v>6</v>
      </c>
      <c r="D17" s="3" t="s">
        <v>68</v>
      </c>
    </row>
    <row r="18" spans="1:4" x14ac:dyDescent="0.3">
      <c r="A18" s="3" t="s">
        <v>133</v>
      </c>
      <c r="B18" s="3" t="s">
        <v>129</v>
      </c>
      <c r="C18" s="3" t="s">
        <v>7</v>
      </c>
      <c r="D18" s="3" t="s">
        <v>70</v>
      </c>
    </row>
    <row r="19" spans="1:4" x14ac:dyDescent="0.3">
      <c r="A19" s="4" t="s">
        <v>135</v>
      </c>
      <c r="B19" s="4" t="s">
        <v>36</v>
      </c>
      <c r="C19" s="4" t="s">
        <v>8</v>
      </c>
      <c r="D19" s="4" t="s">
        <v>109</v>
      </c>
    </row>
    <row r="20" spans="1:4" x14ac:dyDescent="0.3">
      <c r="A20" s="4" t="s">
        <v>135</v>
      </c>
      <c r="B20" s="4" t="s">
        <v>37</v>
      </c>
      <c r="C20" s="4" t="s">
        <v>9</v>
      </c>
      <c r="D20" s="4" t="s">
        <v>110</v>
      </c>
    </row>
    <row r="21" spans="1:4" x14ac:dyDescent="0.3">
      <c r="A21" s="4" t="s">
        <v>135</v>
      </c>
      <c r="B21" s="4" t="s">
        <v>38</v>
      </c>
      <c r="C21" s="4" t="s">
        <v>10</v>
      </c>
      <c r="D21" s="4" t="s">
        <v>111</v>
      </c>
    </row>
    <row r="22" spans="1:4" x14ac:dyDescent="0.3">
      <c r="A22" s="4" t="s">
        <v>135</v>
      </c>
      <c r="B22" s="4" t="s">
        <v>39</v>
      </c>
      <c r="C22" s="4" t="s">
        <v>11</v>
      </c>
      <c r="D22" s="4" t="s">
        <v>112</v>
      </c>
    </row>
    <row r="23" spans="1:4" x14ac:dyDescent="0.3">
      <c r="A23" s="4" t="s">
        <v>135</v>
      </c>
      <c r="B23" s="4" t="s">
        <v>40</v>
      </c>
      <c r="C23" s="4" t="s">
        <v>12</v>
      </c>
      <c r="D23" s="4" t="s">
        <v>113</v>
      </c>
    </row>
    <row r="24" spans="1:4" x14ac:dyDescent="0.3">
      <c r="A24" s="4" t="s">
        <v>135</v>
      </c>
      <c r="B24" s="4" t="s">
        <v>41</v>
      </c>
      <c r="C24" s="4" t="s">
        <v>13</v>
      </c>
      <c r="D24" s="4" t="s">
        <v>114</v>
      </c>
    </row>
    <row r="25" spans="1:4" x14ac:dyDescent="0.3">
      <c r="A25" s="4" t="s">
        <v>135</v>
      </c>
      <c r="B25" s="4" t="s">
        <v>42</v>
      </c>
      <c r="C25" s="4" t="s">
        <v>14</v>
      </c>
      <c r="D25" s="4" t="s">
        <v>115</v>
      </c>
    </row>
    <row r="26" spans="1:4" x14ac:dyDescent="0.3">
      <c r="A26" s="4" t="s">
        <v>135</v>
      </c>
      <c r="B26" s="4" t="s">
        <v>43</v>
      </c>
      <c r="C26" s="4" t="s">
        <v>15</v>
      </c>
      <c r="D26" s="4" t="s">
        <v>116</v>
      </c>
    </row>
    <row r="27" spans="1:4" x14ac:dyDescent="0.3">
      <c r="A27" s="4" t="s">
        <v>135</v>
      </c>
      <c r="B27" s="4" t="s">
        <v>44</v>
      </c>
      <c r="C27" s="4" t="s">
        <v>16</v>
      </c>
      <c r="D27" s="4" t="s">
        <v>117</v>
      </c>
    </row>
    <row r="28" spans="1:4" x14ac:dyDescent="0.3">
      <c r="A28" s="4" t="s">
        <v>135</v>
      </c>
      <c r="B28" s="4" t="s">
        <v>45</v>
      </c>
      <c r="C28" s="4" t="s">
        <v>17</v>
      </c>
      <c r="D28" s="4" t="s">
        <v>118</v>
      </c>
    </row>
    <row r="29" spans="1:4" x14ac:dyDescent="0.3">
      <c r="A29" s="4" t="s">
        <v>135</v>
      </c>
      <c r="B29" s="4" t="s">
        <v>46</v>
      </c>
      <c r="C29" s="4" t="s">
        <v>18</v>
      </c>
      <c r="D29" s="4" t="s">
        <v>119</v>
      </c>
    </row>
    <row r="30" spans="1:4" x14ac:dyDescent="0.3">
      <c r="A30" s="5" t="s">
        <v>134</v>
      </c>
      <c r="B30" s="5" t="s">
        <v>126</v>
      </c>
      <c r="C30" s="5" t="s">
        <v>19</v>
      </c>
      <c r="D30" s="5" t="s">
        <v>67</v>
      </c>
    </row>
    <row r="31" spans="1:4" x14ac:dyDescent="0.3">
      <c r="A31" s="5" t="s">
        <v>134</v>
      </c>
      <c r="B31" s="5" t="s">
        <v>1</v>
      </c>
      <c r="C31" s="5" t="s">
        <v>20</v>
      </c>
      <c r="D31" s="5" t="s">
        <v>74</v>
      </c>
    </row>
    <row r="32" spans="1:4" x14ac:dyDescent="0.3">
      <c r="A32" s="5" t="s">
        <v>134</v>
      </c>
      <c r="B32" s="5" t="s">
        <v>2</v>
      </c>
      <c r="C32" s="5" t="s">
        <v>21</v>
      </c>
      <c r="D32" s="5" t="s">
        <v>75</v>
      </c>
    </row>
    <row r="33" spans="1:4" x14ac:dyDescent="0.3">
      <c r="A33" s="5" t="s">
        <v>134</v>
      </c>
      <c r="B33" s="5" t="s">
        <v>3</v>
      </c>
      <c r="C33" s="5" t="s">
        <v>22</v>
      </c>
      <c r="D33" s="5" t="s">
        <v>76</v>
      </c>
    </row>
    <row r="34" spans="1:4" x14ac:dyDescent="0.3">
      <c r="A34" s="5" t="s">
        <v>134</v>
      </c>
      <c r="B34" s="5" t="s">
        <v>4</v>
      </c>
      <c r="C34" s="5" t="s">
        <v>23</v>
      </c>
      <c r="D34" s="5" t="s">
        <v>77</v>
      </c>
    </row>
    <row r="35" spans="1:4" x14ac:dyDescent="0.3">
      <c r="A35" s="5" t="s">
        <v>134</v>
      </c>
      <c r="B35" s="5" t="s">
        <v>5</v>
      </c>
      <c r="C35" s="5" t="s">
        <v>24</v>
      </c>
      <c r="D35" s="5" t="s">
        <v>78</v>
      </c>
    </row>
    <row r="36" spans="1:4" x14ac:dyDescent="0.3">
      <c r="A36" s="6" t="s">
        <v>140</v>
      </c>
      <c r="B36" s="6" t="s">
        <v>8</v>
      </c>
      <c r="C36" s="6" t="s">
        <v>25</v>
      </c>
      <c r="D36" s="6" t="s">
        <v>81</v>
      </c>
    </row>
    <row r="37" spans="1:4" x14ac:dyDescent="0.3">
      <c r="A37" s="6" t="s">
        <v>140</v>
      </c>
      <c r="B37" s="6" t="s">
        <v>9</v>
      </c>
      <c r="C37" s="6" t="s">
        <v>26</v>
      </c>
      <c r="D37" s="6" t="s">
        <v>82</v>
      </c>
    </row>
    <row r="38" spans="1:4" x14ac:dyDescent="0.3">
      <c r="A38" s="6" t="s">
        <v>140</v>
      </c>
      <c r="B38" s="6" t="s">
        <v>10</v>
      </c>
      <c r="C38" s="6" t="s">
        <v>27</v>
      </c>
      <c r="D38" s="6" t="s">
        <v>83</v>
      </c>
    </row>
    <row r="39" spans="1:4" x14ac:dyDescent="0.3">
      <c r="A39" s="6" t="s">
        <v>140</v>
      </c>
      <c r="B39" s="6" t="s">
        <v>11</v>
      </c>
      <c r="C39" s="6" t="s">
        <v>28</v>
      </c>
      <c r="D39" s="6" t="s">
        <v>84</v>
      </c>
    </row>
    <row r="40" spans="1:4" x14ac:dyDescent="0.3">
      <c r="A40" s="6" t="s">
        <v>140</v>
      </c>
      <c r="B40" s="6" t="s">
        <v>12</v>
      </c>
      <c r="C40" s="6" t="s">
        <v>29</v>
      </c>
      <c r="D40" s="6" t="s">
        <v>85</v>
      </c>
    </row>
    <row r="41" spans="1:4" x14ac:dyDescent="0.3">
      <c r="A41" s="7" t="s">
        <v>139</v>
      </c>
      <c r="B41" s="7" t="s">
        <v>13</v>
      </c>
      <c r="C41" s="7" t="s">
        <v>30</v>
      </c>
      <c r="D41" s="7" t="s">
        <v>86</v>
      </c>
    </row>
    <row r="42" spans="1:4" x14ac:dyDescent="0.3">
      <c r="A42" s="7" t="s">
        <v>139</v>
      </c>
      <c r="B42" s="7" t="s">
        <v>14</v>
      </c>
      <c r="C42" s="7" t="s">
        <v>31</v>
      </c>
      <c r="D42" s="7" t="s">
        <v>87</v>
      </c>
    </row>
    <row r="43" spans="1:4" x14ac:dyDescent="0.3">
      <c r="A43" s="7" t="s">
        <v>139</v>
      </c>
      <c r="B43" s="7" t="s">
        <v>15</v>
      </c>
      <c r="C43" s="7" t="s">
        <v>32</v>
      </c>
      <c r="D43" s="7" t="s">
        <v>88</v>
      </c>
    </row>
    <row r="44" spans="1:4" x14ac:dyDescent="0.3">
      <c r="A44" s="7" t="s">
        <v>139</v>
      </c>
      <c r="B44" s="7" t="s">
        <v>16</v>
      </c>
      <c r="C44" s="7" t="s">
        <v>33</v>
      </c>
      <c r="D44" s="7" t="s">
        <v>89</v>
      </c>
    </row>
    <row r="45" spans="1:4" x14ac:dyDescent="0.3">
      <c r="A45" s="7" t="s">
        <v>139</v>
      </c>
      <c r="B45" s="7" t="s">
        <v>17</v>
      </c>
      <c r="C45" s="7" t="s">
        <v>34</v>
      </c>
      <c r="D45" s="7" t="s">
        <v>90</v>
      </c>
    </row>
    <row r="46" spans="1:4" x14ac:dyDescent="0.3">
      <c r="A46" s="11" t="s">
        <v>137</v>
      </c>
      <c r="B46" s="11" t="s">
        <v>128</v>
      </c>
      <c r="C46" s="11" t="s">
        <v>35</v>
      </c>
      <c r="D46" s="11" t="s">
        <v>69</v>
      </c>
    </row>
    <row r="47" spans="1:4" x14ac:dyDescent="0.3">
      <c r="A47" s="11" t="s">
        <v>137</v>
      </c>
      <c r="B47" s="11" t="s">
        <v>131</v>
      </c>
      <c r="C47" s="11" t="s">
        <v>36</v>
      </c>
      <c r="D47" s="11" t="s">
        <v>72</v>
      </c>
    </row>
    <row r="48" spans="1:4" x14ac:dyDescent="0.3">
      <c r="A48" s="8" t="s">
        <v>142</v>
      </c>
      <c r="B48" s="8" t="s">
        <v>6</v>
      </c>
      <c r="C48" s="8" t="s">
        <v>37</v>
      </c>
      <c r="D48" s="8" t="s">
        <v>79</v>
      </c>
    </row>
    <row r="49" spans="1:4" x14ac:dyDescent="0.3">
      <c r="A49" s="8" t="s">
        <v>142</v>
      </c>
      <c r="B49" s="8" t="s">
        <v>7</v>
      </c>
      <c r="C49" s="8" t="s">
        <v>38</v>
      </c>
      <c r="D49" s="8" t="s">
        <v>80</v>
      </c>
    </row>
    <row r="50" spans="1:4" x14ac:dyDescent="0.3">
      <c r="A50" s="9" t="s">
        <v>141</v>
      </c>
      <c r="B50" s="9" t="s">
        <v>0</v>
      </c>
      <c r="C50" s="9" t="s">
        <v>39</v>
      </c>
      <c r="D50" s="9" t="s">
        <v>73</v>
      </c>
    </row>
    <row r="51" spans="1:4" x14ac:dyDescent="0.3">
      <c r="A51" s="9" t="s">
        <v>141</v>
      </c>
      <c r="B51" s="9" t="s">
        <v>26</v>
      </c>
      <c r="C51" s="9" t="s">
        <v>40</v>
      </c>
      <c r="D51" s="9" t="s">
        <v>99</v>
      </c>
    </row>
    <row r="52" spans="1:4" x14ac:dyDescent="0.3">
      <c r="A52" s="9" t="s">
        <v>141</v>
      </c>
      <c r="B52" s="9" t="s">
        <v>31</v>
      </c>
      <c r="C52" s="9" t="s">
        <v>41</v>
      </c>
      <c r="D52" s="9" t="s">
        <v>104</v>
      </c>
    </row>
    <row r="53" spans="1:4" x14ac:dyDescent="0.3">
      <c r="A53" s="9" t="s">
        <v>141</v>
      </c>
      <c r="B53" s="9" t="s">
        <v>32</v>
      </c>
      <c r="C53" s="9" t="s">
        <v>42</v>
      </c>
      <c r="D53" s="9" t="s">
        <v>105</v>
      </c>
    </row>
    <row r="54" spans="1:4" x14ac:dyDescent="0.3">
      <c r="A54" s="9" t="s">
        <v>141</v>
      </c>
      <c r="B54" s="9" t="s">
        <v>47</v>
      </c>
      <c r="C54" s="9" t="s">
        <v>43</v>
      </c>
      <c r="D54" s="9" t="s">
        <v>120</v>
      </c>
    </row>
    <row r="55" spans="1:4" x14ac:dyDescent="0.3">
      <c r="A55" s="10" t="s">
        <v>136</v>
      </c>
      <c r="B55" s="10" t="s">
        <v>130</v>
      </c>
      <c r="C55" s="10" t="s">
        <v>44</v>
      </c>
      <c r="D55" s="10" t="s">
        <v>71</v>
      </c>
    </row>
    <row r="56" spans="1:4" x14ac:dyDescent="0.3">
      <c r="A56" s="10" t="s">
        <v>136</v>
      </c>
      <c r="B56" s="10" t="s">
        <v>22</v>
      </c>
      <c r="C56" s="10" t="s">
        <v>45</v>
      </c>
      <c r="D56" s="10" t="s">
        <v>95</v>
      </c>
    </row>
    <row r="57" spans="1:4" x14ac:dyDescent="0.3">
      <c r="A57" s="10" t="s">
        <v>136</v>
      </c>
      <c r="B57" s="10" t="s">
        <v>23</v>
      </c>
      <c r="C57" s="10" t="s">
        <v>46</v>
      </c>
      <c r="D57" s="10" t="s">
        <v>96</v>
      </c>
    </row>
    <row r="58" spans="1:4" x14ac:dyDescent="0.3">
      <c r="A58" s="10" t="s">
        <v>136</v>
      </c>
      <c r="B58" s="10" t="s">
        <v>27</v>
      </c>
      <c r="C58" s="10" t="s">
        <v>47</v>
      </c>
      <c r="D58" s="10" t="s">
        <v>100</v>
      </c>
    </row>
  </sheetData>
  <autoFilter ref="A1:D58" xr:uid="{52CBCD04-BED9-43FB-A9EC-F2FDF9191772}">
    <sortState xmlns:xlrd2="http://schemas.microsoft.com/office/spreadsheetml/2017/richdata2" ref="A2:D58">
      <sortCondition ref="C1:C58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0568-C3F0-4084-9D93-93EB3596F459}">
  <dimension ref="A1:BG36"/>
  <sheetViews>
    <sheetView tabSelected="1" workbookViewId="0">
      <selection activeCell="M2" sqref="M2"/>
    </sheetView>
  </sheetViews>
  <sheetFormatPr defaultRowHeight="14.4" x14ac:dyDescent="0.3"/>
  <cols>
    <col min="1" max="1" width="21.6640625" bestFit="1" customWidth="1"/>
    <col min="2" max="2" width="8" bestFit="1" customWidth="1"/>
    <col min="3" max="3" width="4" bestFit="1" customWidth="1"/>
    <col min="4" max="4" width="5" bestFit="1" customWidth="1"/>
    <col min="5" max="5" width="12" bestFit="1" customWidth="1"/>
    <col min="6" max="6" width="5" bestFit="1" customWidth="1"/>
    <col min="7" max="7" width="5.6640625" bestFit="1" customWidth="1"/>
    <col min="8" max="8" width="4.6640625" bestFit="1" customWidth="1"/>
    <col min="9" max="9" width="4" bestFit="1" customWidth="1"/>
    <col min="10" max="10" width="12" bestFit="1" customWidth="1"/>
    <col min="11" max="11" width="6.21875" bestFit="1" customWidth="1"/>
    <col min="12" max="12" width="7" bestFit="1" customWidth="1"/>
    <col min="13" max="13" width="7" customWidth="1"/>
    <col min="14" max="14" width="5" bestFit="1" customWidth="1"/>
    <col min="15" max="15" width="7" bestFit="1" customWidth="1"/>
    <col min="16" max="16" width="5" bestFit="1" customWidth="1"/>
    <col min="17" max="17" width="8" bestFit="1" customWidth="1"/>
    <col min="18" max="18" width="10.5546875" bestFit="1" customWidth="1"/>
    <col min="19" max="19" width="9" bestFit="1" customWidth="1"/>
    <col min="20" max="20" width="5" bestFit="1" customWidth="1"/>
    <col min="21" max="21" width="7" bestFit="1" customWidth="1"/>
    <col min="22" max="23" width="8" bestFit="1" customWidth="1"/>
    <col min="24" max="24" width="6" bestFit="1" customWidth="1"/>
    <col min="25" max="25" width="4" bestFit="1" customWidth="1"/>
    <col min="26" max="26" width="7" bestFit="1" customWidth="1"/>
    <col min="27" max="27" width="6" bestFit="1" customWidth="1"/>
    <col min="28" max="28" width="5" bestFit="1" customWidth="1"/>
    <col min="29" max="29" width="8" bestFit="1" customWidth="1"/>
    <col min="30" max="30" width="5" bestFit="1" customWidth="1"/>
    <col min="31" max="31" width="6" bestFit="1" customWidth="1"/>
    <col min="32" max="32" width="9" bestFit="1" customWidth="1"/>
    <col min="33" max="33" width="7" bestFit="1" customWidth="1"/>
    <col min="34" max="34" width="8" bestFit="1" customWidth="1"/>
    <col min="35" max="35" width="6" bestFit="1" customWidth="1"/>
    <col min="36" max="36" width="8" bestFit="1" customWidth="1"/>
    <col min="37" max="37" width="4" bestFit="1" customWidth="1"/>
    <col min="38" max="38" width="7" bestFit="1" customWidth="1"/>
    <col min="39" max="39" width="4" bestFit="1" customWidth="1"/>
    <col min="40" max="40" width="3.77734375" bestFit="1" customWidth="1"/>
    <col min="41" max="46" width="5" bestFit="1" customWidth="1"/>
    <col min="47" max="48" width="4" bestFit="1" customWidth="1"/>
    <col min="49" max="49" width="6" bestFit="1" customWidth="1"/>
    <col min="50" max="50" width="7" bestFit="1" customWidth="1"/>
    <col min="51" max="51" width="6" bestFit="1" customWidth="1"/>
    <col min="52" max="53" width="12" bestFit="1" customWidth="1"/>
    <col min="54" max="54" width="5" bestFit="1" customWidth="1"/>
    <col min="55" max="55" width="7" bestFit="1" customWidth="1"/>
    <col min="56" max="59" width="5" bestFit="1" customWidth="1"/>
  </cols>
  <sheetData>
    <row r="1" spans="1:59" x14ac:dyDescent="0.3">
      <c r="A1" t="s">
        <v>122</v>
      </c>
      <c r="B1" t="s">
        <v>123</v>
      </c>
      <c r="C1" t="s">
        <v>124</v>
      </c>
      <c r="D1" t="s">
        <v>125</v>
      </c>
      <c r="E1" t="s">
        <v>126</v>
      </c>
      <c r="F1" t="s">
        <v>127</v>
      </c>
      <c r="G1" s="12" t="s">
        <v>128</v>
      </c>
      <c r="H1" s="12" t="s">
        <v>129</v>
      </c>
      <c r="I1" t="s">
        <v>130</v>
      </c>
      <c r="J1" t="s">
        <v>131</v>
      </c>
      <c r="K1" t="s">
        <v>0</v>
      </c>
      <c r="L1" t="s">
        <v>1</v>
      </c>
      <c r="M1" t="s">
        <v>149</v>
      </c>
      <c r="N1" t="s">
        <v>2</v>
      </c>
      <c r="O1" t="s">
        <v>3</v>
      </c>
      <c r="P1" t="s">
        <v>4</v>
      </c>
      <c r="Q1" t="s">
        <v>5</v>
      </c>
      <c r="R1" s="12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  <c r="AM1" t="s">
        <v>27</v>
      </c>
      <c r="AN1" t="s">
        <v>28</v>
      </c>
      <c r="AO1" t="s">
        <v>29</v>
      </c>
      <c r="AP1" t="s">
        <v>30</v>
      </c>
      <c r="AQ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A1" t="s">
        <v>41</v>
      </c>
      <c r="BB1" t="s">
        <v>42</v>
      </c>
      <c r="BC1" t="s">
        <v>43</v>
      </c>
      <c r="BD1" t="s">
        <v>44</v>
      </c>
      <c r="BE1" t="s">
        <v>45</v>
      </c>
      <c r="BF1" t="s">
        <v>46</v>
      </c>
      <c r="BG1" t="s">
        <v>47</v>
      </c>
    </row>
    <row r="2" spans="1:59" x14ac:dyDescent="0.3">
      <c r="A2" t="s">
        <v>48</v>
      </c>
      <c r="B2">
        <v>2904894</v>
      </c>
      <c r="C2">
        <v>145</v>
      </c>
      <c r="D2">
        <v>68</v>
      </c>
      <c r="E2">
        <v>4.1988106967070049</v>
      </c>
      <c r="F2">
        <v>12.7</v>
      </c>
      <c r="G2">
        <v>-4.96</v>
      </c>
      <c r="H2">
        <v>1.4</v>
      </c>
      <c r="I2">
        <v>964</v>
      </c>
      <c r="J2">
        <v>14.412673879443586</v>
      </c>
      <c r="K2">
        <v>436</v>
      </c>
      <c r="L2">
        <v>124955</v>
      </c>
      <c r="M2">
        <f>L2/B2*10000</f>
        <v>430.15338941799598</v>
      </c>
      <c r="N2">
        <v>82.6</v>
      </c>
      <c r="O2">
        <v>96997</v>
      </c>
      <c r="P2">
        <v>1589</v>
      </c>
      <c r="Q2">
        <v>598.02</v>
      </c>
      <c r="R2">
        <v>112</v>
      </c>
      <c r="S2">
        <v>8867.4599999999991</v>
      </c>
      <c r="T2">
        <v>0.94</v>
      </c>
      <c r="U2">
        <v>727.1</v>
      </c>
      <c r="V2">
        <v>24632.9</v>
      </c>
      <c r="W2">
        <v>20968.400000000001</v>
      </c>
      <c r="X2">
        <v>12638</v>
      </c>
      <c r="Y2">
        <v>1.7</v>
      </c>
      <c r="Z2">
        <v>78.12</v>
      </c>
      <c r="AA2">
        <v>27361</v>
      </c>
      <c r="AB2">
        <v>9.1999999999999993</v>
      </c>
      <c r="AC2">
        <v>1789958</v>
      </c>
      <c r="AD2">
        <v>1883</v>
      </c>
      <c r="AE2">
        <v>7651</v>
      </c>
      <c r="AF2">
        <v>9518.94</v>
      </c>
      <c r="AG2">
        <v>399.79</v>
      </c>
      <c r="AH2">
        <v>3147.59</v>
      </c>
      <c r="AI2">
        <v>17.77</v>
      </c>
      <c r="AJ2">
        <v>1637.75</v>
      </c>
      <c r="AK2">
        <v>2</v>
      </c>
      <c r="AL2">
        <v>2833.3</v>
      </c>
      <c r="AM2">
        <v>4.5</v>
      </c>
      <c r="AN2">
        <v>4</v>
      </c>
      <c r="AO2">
        <v>1665</v>
      </c>
      <c r="AP2">
        <v>39.200000000000003</v>
      </c>
      <c r="AQ2">
        <v>10.7</v>
      </c>
      <c r="AR2">
        <v>55.7</v>
      </c>
      <c r="AS2">
        <v>12.2</v>
      </c>
      <c r="AT2">
        <v>1.83</v>
      </c>
      <c r="AU2">
        <v>4.5999999999999996</v>
      </c>
      <c r="AV2">
        <v>2.2999999999999998</v>
      </c>
      <c r="AW2">
        <v>29.87</v>
      </c>
      <c r="AX2">
        <v>39160</v>
      </c>
      <c r="AY2">
        <v>463</v>
      </c>
      <c r="AZ2">
        <v>0.84343869346007116</v>
      </c>
      <c r="BA2">
        <v>6.848065303509264</v>
      </c>
      <c r="BB2">
        <v>4.7</v>
      </c>
      <c r="BC2">
        <v>92027</v>
      </c>
      <c r="BD2">
        <v>60</v>
      </c>
      <c r="BE2">
        <v>59.5</v>
      </c>
      <c r="BF2">
        <v>25.3</v>
      </c>
      <c r="BG2">
        <v>71.400000000000006</v>
      </c>
    </row>
    <row r="3" spans="1:59" x14ac:dyDescent="0.3">
      <c r="A3" t="s">
        <v>49</v>
      </c>
      <c r="B3">
        <v>2027261</v>
      </c>
      <c r="C3">
        <v>112</v>
      </c>
      <c r="D3">
        <v>58.5</v>
      </c>
      <c r="E3">
        <v>3.9379241252113077</v>
      </c>
      <c r="F3">
        <v>10.8</v>
      </c>
      <c r="G3">
        <v>-4.9400000000000004</v>
      </c>
      <c r="H3">
        <v>-0.9</v>
      </c>
      <c r="I3">
        <v>903</v>
      </c>
      <c r="J3">
        <v>13.475914213704883</v>
      </c>
      <c r="K3">
        <v>286</v>
      </c>
      <c r="L3">
        <v>56677</v>
      </c>
      <c r="M3">
        <f>L3/B3*10000</f>
        <v>279.5742630080685</v>
      </c>
      <c r="N3">
        <v>82.8</v>
      </c>
      <c r="O3">
        <v>72843</v>
      </c>
      <c r="P3">
        <v>1159</v>
      </c>
      <c r="Q3">
        <v>451.11</v>
      </c>
      <c r="R3">
        <v>85</v>
      </c>
      <c r="S3">
        <v>7710.78</v>
      </c>
      <c r="T3">
        <v>0.42</v>
      </c>
      <c r="U3">
        <v>961.2</v>
      </c>
      <c r="V3">
        <v>27711.9</v>
      </c>
      <c r="W3">
        <v>20550.8</v>
      </c>
      <c r="X3">
        <v>12312</v>
      </c>
      <c r="Y3">
        <v>1.1000000000000001</v>
      </c>
      <c r="Z3">
        <v>81.790000000000006</v>
      </c>
      <c r="AA3">
        <v>30780</v>
      </c>
      <c r="AB3">
        <v>6.7</v>
      </c>
      <c r="AC3">
        <v>1177206</v>
      </c>
      <c r="AD3">
        <v>788</v>
      </c>
      <c r="AE3">
        <v>5351</v>
      </c>
      <c r="AF3">
        <v>8891.49</v>
      </c>
      <c r="AG3">
        <v>310.76</v>
      </c>
      <c r="AH3">
        <v>3101.1</v>
      </c>
      <c r="AI3">
        <v>22.59</v>
      </c>
      <c r="AJ3">
        <v>1559.66</v>
      </c>
      <c r="AK3">
        <v>1.9</v>
      </c>
      <c r="AL3">
        <v>3430.9</v>
      </c>
      <c r="AM3">
        <v>3.4</v>
      </c>
      <c r="AN3">
        <v>4</v>
      </c>
      <c r="AO3">
        <v>1285</v>
      </c>
      <c r="AP3">
        <v>31.5</v>
      </c>
      <c r="AQ3">
        <v>6.4</v>
      </c>
      <c r="AR3">
        <v>55.1</v>
      </c>
      <c r="AS3">
        <v>13.7</v>
      </c>
      <c r="AT3">
        <v>2.99</v>
      </c>
      <c r="AU3">
        <v>7.3</v>
      </c>
      <c r="AV3">
        <v>4.5999999999999996</v>
      </c>
      <c r="AW3">
        <v>16.53</v>
      </c>
      <c r="AX3">
        <v>23742</v>
      </c>
      <c r="AY3">
        <v>413</v>
      </c>
      <c r="AZ3">
        <v>0.68072142659479962</v>
      </c>
      <c r="BA3">
        <v>7.9873670095453182</v>
      </c>
      <c r="BB3">
        <v>6.7</v>
      </c>
      <c r="BC3">
        <v>38307</v>
      </c>
      <c r="BD3">
        <v>59.2</v>
      </c>
      <c r="BE3">
        <v>59.3</v>
      </c>
      <c r="BF3">
        <v>20.3</v>
      </c>
      <c r="BG3">
        <v>72.099999999999994</v>
      </c>
    </row>
    <row r="4" spans="1:59" x14ac:dyDescent="0.3">
      <c r="A4" t="s">
        <v>50</v>
      </c>
      <c r="B4">
        <v>2052340</v>
      </c>
      <c r="C4">
        <v>81</v>
      </c>
      <c r="D4">
        <v>46.3</v>
      </c>
      <c r="E4">
        <v>4.51903680676691</v>
      </c>
      <c r="F4">
        <v>9.9</v>
      </c>
      <c r="G4">
        <v>-4.91</v>
      </c>
      <c r="H4">
        <v>-2.4</v>
      </c>
      <c r="I4">
        <v>933</v>
      </c>
      <c r="J4">
        <v>10.674600022243052</v>
      </c>
      <c r="K4">
        <v>337</v>
      </c>
      <c r="L4">
        <v>67187</v>
      </c>
      <c r="M4">
        <f>L4/B4*10000</f>
        <v>327.3677850648528</v>
      </c>
      <c r="N4">
        <v>83.1</v>
      </c>
      <c r="O4">
        <v>62534</v>
      </c>
      <c r="P4">
        <v>1084</v>
      </c>
      <c r="Q4">
        <v>340.55</v>
      </c>
      <c r="R4">
        <v>76</v>
      </c>
      <c r="S4">
        <v>7771.05</v>
      </c>
      <c r="T4">
        <v>0.44</v>
      </c>
      <c r="U4">
        <v>521.20000000000005</v>
      </c>
      <c r="V4">
        <v>37073.199999999997</v>
      </c>
      <c r="W4">
        <v>24530.2</v>
      </c>
      <c r="X4">
        <v>13319</v>
      </c>
      <c r="Y4">
        <v>1.4</v>
      </c>
      <c r="Z4">
        <v>60.22</v>
      </c>
      <c r="AA4">
        <v>23473</v>
      </c>
      <c r="AB4">
        <v>4.4000000000000004</v>
      </c>
      <c r="AC4">
        <v>1242886</v>
      </c>
      <c r="AD4">
        <v>845</v>
      </c>
      <c r="AE4">
        <v>3706</v>
      </c>
      <c r="AF4">
        <v>8459.0400000000009</v>
      </c>
      <c r="AG4">
        <v>318.47000000000003</v>
      </c>
      <c r="AH4">
        <v>3193.55</v>
      </c>
      <c r="AI4">
        <v>22.44</v>
      </c>
      <c r="AJ4">
        <v>1819.42</v>
      </c>
      <c r="AK4">
        <v>2.8</v>
      </c>
      <c r="AL4">
        <v>3289.6</v>
      </c>
      <c r="AM4">
        <v>2.9</v>
      </c>
      <c r="AN4">
        <v>2</v>
      </c>
      <c r="AO4">
        <v>1589</v>
      </c>
      <c r="AP4">
        <v>38.9</v>
      </c>
      <c r="AQ4">
        <v>10.6</v>
      </c>
      <c r="AR4">
        <v>68.400000000000006</v>
      </c>
      <c r="AS4">
        <v>16.7</v>
      </c>
      <c r="AT4">
        <v>2.27</v>
      </c>
      <c r="AU4">
        <v>7.4</v>
      </c>
      <c r="AV4">
        <v>3.5</v>
      </c>
      <c r="AW4">
        <v>13.52</v>
      </c>
      <c r="AX4">
        <v>11892</v>
      </c>
      <c r="AY4">
        <v>413</v>
      </c>
      <c r="AZ4">
        <v>0.71664539014003525</v>
      </c>
      <c r="BA4">
        <v>10.927709229464034</v>
      </c>
      <c r="BB4">
        <v>6.8</v>
      </c>
      <c r="BC4">
        <v>19658</v>
      </c>
      <c r="BD4">
        <v>56.7</v>
      </c>
      <c r="BE4">
        <v>58.6</v>
      </c>
      <c r="BF4">
        <v>23.4</v>
      </c>
      <c r="BG4">
        <v>73.599999999999994</v>
      </c>
    </row>
    <row r="5" spans="1:59" x14ac:dyDescent="0.3">
      <c r="A5" t="s">
        <v>51</v>
      </c>
      <c r="B5">
        <v>991213</v>
      </c>
      <c r="C5">
        <v>71</v>
      </c>
      <c r="D5">
        <v>64.599999999999994</v>
      </c>
      <c r="E5">
        <v>4.362735355569388</v>
      </c>
      <c r="F5">
        <v>10.9</v>
      </c>
      <c r="G5">
        <v>-4.95</v>
      </c>
      <c r="H5">
        <v>-0.8</v>
      </c>
      <c r="I5">
        <v>955</v>
      </c>
      <c r="J5">
        <v>9.4729169863434084</v>
      </c>
      <c r="K5">
        <v>127</v>
      </c>
      <c r="L5">
        <v>12347</v>
      </c>
      <c r="M5">
        <f>L5/B5*10000</f>
        <v>124.56454868933317</v>
      </c>
      <c r="N5">
        <v>83.1</v>
      </c>
      <c r="O5">
        <v>72438</v>
      </c>
      <c r="P5">
        <v>1386</v>
      </c>
      <c r="Q5">
        <v>472.11</v>
      </c>
      <c r="R5">
        <v>102</v>
      </c>
      <c r="S5">
        <v>7887.19</v>
      </c>
      <c r="T5">
        <v>0.42</v>
      </c>
      <c r="U5">
        <v>656.9</v>
      </c>
      <c r="V5">
        <v>14896.1</v>
      </c>
      <c r="W5">
        <v>8909.2999999999993</v>
      </c>
      <c r="X5">
        <v>3811</v>
      </c>
      <c r="Y5">
        <v>1.9</v>
      </c>
      <c r="Z5">
        <v>45.36</v>
      </c>
      <c r="AA5">
        <v>15175</v>
      </c>
      <c r="AB5">
        <v>6.5</v>
      </c>
      <c r="AC5">
        <v>646928</v>
      </c>
      <c r="AD5">
        <v>462</v>
      </c>
      <c r="AE5">
        <v>6013</v>
      </c>
      <c r="AF5">
        <v>8923.2000000000007</v>
      </c>
      <c r="AG5">
        <v>330.59</v>
      </c>
      <c r="AH5">
        <v>3110.36</v>
      </c>
      <c r="AI5">
        <v>8.8000000000000007</v>
      </c>
      <c r="AJ5">
        <v>1753.55</v>
      </c>
      <c r="AK5">
        <v>2.4</v>
      </c>
      <c r="AL5">
        <v>3923</v>
      </c>
      <c r="AM5">
        <v>4.4000000000000004</v>
      </c>
      <c r="AN5">
        <v>3</v>
      </c>
      <c r="AO5">
        <v>2470</v>
      </c>
      <c r="AP5">
        <v>25</v>
      </c>
      <c r="AQ5">
        <v>7.9</v>
      </c>
      <c r="AR5">
        <v>47</v>
      </c>
      <c r="AS5">
        <v>10.7</v>
      </c>
      <c r="AT5">
        <v>1.39</v>
      </c>
      <c r="AU5">
        <v>4.5</v>
      </c>
      <c r="AV5">
        <v>3.4</v>
      </c>
      <c r="AW5">
        <v>18.440000000000001</v>
      </c>
      <c r="AX5">
        <v>15088</v>
      </c>
      <c r="AY5">
        <v>425</v>
      </c>
      <c r="AZ5">
        <v>0.78358536459872896</v>
      </c>
      <c r="BA5">
        <v>12.764234226937718</v>
      </c>
      <c r="BB5">
        <v>9</v>
      </c>
      <c r="BC5">
        <v>22775</v>
      </c>
      <c r="BD5">
        <v>56.6</v>
      </c>
      <c r="BE5">
        <v>59</v>
      </c>
      <c r="BF5">
        <v>20</v>
      </c>
      <c r="BG5">
        <v>72.3</v>
      </c>
    </row>
    <row r="6" spans="1:59" x14ac:dyDescent="0.3">
      <c r="A6" t="s">
        <v>52</v>
      </c>
      <c r="B6">
        <v>2410286</v>
      </c>
      <c r="C6">
        <v>132</v>
      </c>
      <c r="D6">
        <v>62.1</v>
      </c>
      <c r="E6">
        <v>2.5842161469634721</v>
      </c>
      <c r="F6">
        <v>9.3000000000000007</v>
      </c>
      <c r="G6">
        <v>-6.45</v>
      </c>
      <c r="H6">
        <v>-0.6</v>
      </c>
      <c r="I6">
        <v>961</v>
      </c>
      <c r="J6">
        <v>11.298931508198336</v>
      </c>
      <c r="K6">
        <v>293</v>
      </c>
      <c r="L6">
        <v>68841</v>
      </c>
      <c r="M6">
        <f>L6/B6*10000</f>
        <v>285.61340853326118</v>
      </c>
      <c r="N6">
        <v>83.4</v>
      </c>
      <c r="O6">
        <v>86151</v>
      </c>
      <c r="P6">
        <v>1236</v>
      </c>
      <c r="Q6">
        <v>487.43</v>
      </c>
      <c r="R6">
        <v>85</v>
      </c>
      <c r="S6">
        <v>8096.32</v>
      </c>
      <c r="T6">
        <v>0.96</v>
      </c>
      <c r="U6">
        <v>699.5</v>
      </c>
      <c r="V6">
        <v>25482.799999999999</v>
      </c>
      <c r="W6">
        <v>21494.799999999999</v>
      </c>
      <c r="X6">
        <v>13240</v>
      </c>
      <c r="Y6">
        <v>1.5</v>
      </c>
      <c r="Z6">
        <v>86.44</v>
      </c>
      <c r="AA6">
        <v>28532</v>
      </c>
      <c r="AB6">
        <v>6</v>
      </c>
      <c r="AC6">
        <v>1462646</v>
      </c>
      <c r="AD6">
        <v>2234</v>
      </c>
      <c r="AE6">
        <v>5286</v>
      </c>
      <c r="AF6">
        <v>9046.44</v>
      </c>
      <c r="AG6">
        <v>319.74</v>
      </c>
      <c r="AH6">
        <v>2940.9</v>
      </c>
      <c r="AI6">
        <v>20.72</v>
      </c>
      <c r="AJ6">
        <v>1754.42</v>
      </c>
      <c r="AK6">
        <v>1.9</v>
      </c>
      <c r="AL6">
        <v>3312.6</v>
      </c>
      <c r="AM6">
        <v>4.9000000000000004</v>
      </c>
      <c r="AN6">
        <v>3</v>
      </c>
      <c r="AO6">
        <v>1027</v>
      </c>
      <c r="AP6">
        <v>43.1</v>
      </c>
      <c r="AQ6">
        <v>11.6</v>
      </c>
      <c r="AR6">
        <v>55.5</v>
      </c>
      <c r="AS6">
        <v>16.7</v>
      </c>
      <c r="AT6">
        <v>2.7</v>
      </c>
      <c r="AU6">
        <v>5.4</v>
      </c>
      <c r="AV6">
        <v>3.1</v>
      </c>
      <c r="AW6">
        <v>9.9499999999999993</v>
      </c>
      <c r="AX6">
        <v>10905</v>
      </c>
      <c r="AY6">
        <v>461</v>
      </c>
      <c r="AZ6">
        <v>0.85471184747370232</v>
      </c>
      <c r="BA6">
        <v>10.775555265031013</v>
      </c>
      <c r="BB6">
        <v>7.8</v>
      </c>
      <c r="BC6">
        <v>68281</v>
      </c>
      <c r="BD6">
        <v>56.1</v>
      </c>
      <c r="BE6">
        <v>57.9</v>
      </c>
      <c r="BF6">
        <v>23</v>
      </c>
      <c r="BG6">
        <v>76</v>
      </c>
    </row>
    <row r="7" spans="1:59" x14ac:dyDescent="0.3">
      <c r="A7" t="s">
        <v>53</v>
      </c>
      <c r="B7">
        <v>3432295</v>
      </c>
      <c r="C7">
        <v>226</v>
      </c>
      <c r="D7">
        <v>48</v>
      </c>
      <c r="E7">
        <v>4.1760396469417689</v>
      </c>
      <c r="F7">
        <v>10.7</v>
      </c>
      <c r="G7">
        <v>-1.82</v>
      </c>
      <c r="H7">
        <v>1.7</v>
      </c>
      <c r="I7">
        <v>954</v>
      </c>
      <c r="J7">
        <v>11.915542441710141</v>
      </c>
      <c r="K7">
        <v>457</v>
      </c>
      <c r="L7">
        <v>156687</v>
      </c>
      <c r="M7">
        <f>L7/B7*10000</f>
        <v>456.50796333065779</v>
      </c>
      <c r="N7">
        <v>87</v>
      </c>
      <c r="O7">
        <v>80976</v>
      </c>
      <c r="P7">
        <v>1456</v>
      </c>
      <c r="Q7">
        <v>540.98</v>
      </c>
      <c r="R7">
        <v>109</v>
      </c>
      <c r="S7">
        <v>8818.7099999999991</v>
      </c>
      <c r="T7">
        <v>0.39</v>
      </c>
      <c r="U7">
        <v>892.7</v>
      </c>
      <c r="V7">
        <v>31838.9</v>
      </c>
      <c r="W7">
        <v>26456.6</v>
      </c>
      <c r="X7">
        <v>17635</v>
      </c>
      <c r="Y7">
        <v>1.7</v>
      </c>
      <c r="Z7">
        <v>118.01</v>
      </c>
      <c r="AA7">
        <v>8848</v>
      </c>
      <c r="AB7">
        <v>7.1</v>
      </c>
      <c r="AC7">
        <v>1952594</v>
      </c>
      <c r="AD7">
        <v>2474</v>
      </c>
      <c r="AE7">
        <v>4945</v>
      </c>
      <c r="AF7">
        <v>8723.18</v>
      </c>
      <c r="AG7">
        <v>346.86</v>
      </c>
      <c r="AH7">
        <v>3323.19</v>
      </c>
      <c r="AI7">
        <v>32.51</v>
      </c>
      <c r="AJ7">
        <v>1425.3</v>
      </c>
      <c r="AK7">
        <v>2.1</v>
      </c>
      <c r="AL7">
        <v>3337.4</v>
      </c>
      <c r="AM7">
        <v>4.5999999999999996</v>
      </c>
      <c r="AN7">
        <v>7</v>
      </c>
      <c r="AO7">
        <v>2081</v>
      </c>
      <c r="AP7">
        <v>37.1</v>
      </c>
      <c r="AQ7">
        <v>9.8000000000000007</v>
      </c>
      <c r="AR7">
        <v>57.1</v>
      </c>
      <c r="AS7">
        <v>14.8</v>
      </c>
      <c r="AT7">
        <v>2.16</v>
      </c>
      <c r="AU7">
        <v>4.0999999999999996</v>
      </c>
      <c r="AV7">
        <v>2.7</v>
      </c>
      <c r="AW7">
        <v>30.18</v>
      </c>
      <c r="AX7">
        <v>45212</v>
      </c>
      <c r="AY7">
        <v>398</v>
      </c>
      <c r="AZ7">
        <v>0.94971440391924344</v>
      </c>
      <c r="BA7">
        <v>11.593814419830618</v>
      </c>
      <c r="BB7">
        <v>9.6999999999999993</v>
      </c>
      <c r="BC7">
        <v>30064</v>
      </c>
      <c r="BD7">
        <v>59.3</v>
      </c>
      <c r="BE7">
        <v>60.2</v>
      </c>
      <c r="BF7">
        <v>25.6</v>
      </c>
      <c r="BG7">
        <v>68.900000000000006</v>
      </c>
    </row>
    <row r="8" spans="1:59" x14ac:dyDescent="0.3">
      <c r="A8" t="s">
        <v>54</v>
      </c>
      <c r="B8">
        <v>5514699</v>
      </c>
      <c r="C8">
        <v>155</v>
      </c>
      <c r="D8">
        <v>64.7</v>
      </c>
      <c r="E8">
        <v>2.2331409202932018</v>
      </c>
      <c r="F8">
        <v>13.2</v>
      </c>
      <c r="G8">
        <v>-2.78</v>
      </c>
      <c r="H8">
        <v>2.5</v>
      </c>
      <c r="I8">
        <v>982</v>
      </c>
      <c r="J8">
        <v>15.608251387133988</v>
      </c>
      <c r="K8">
        <v>516</v>
      </c>
      <c r="L8">
        <v>284117</v>
      </c>
      <c r="M8">
        <f>L8/B8*10000</f>
        <v>515.19946963560483</v>
      </c>
      <c r="N8">
        <v>85.5</v>
      </c>
      <c r="O8">
        <v>142761</v>
      </c>
      <c r="P8">
        <v>1911</v>
      </c>
      <c r="Q8">
        <v>1077.07</v>
      </c>
      <c r="R8">
        <v>144</v>
      </c>
      <c r="S8">
        <v>10018.709999999999</v>
      </c>
      <c r="T8">
        <v>0.81</v>
      </c>
      <c r="U8">
        <v>903</v>
      </c>
      <c r="V8">
        <v>56326.3</v>
      </c>
      <c r="W8">
        <v>41864.800000000003</v>
      </c>
      <c r="X8">
        <v>24985</v>
      </c>
      <c r="Y8">
        <v>1.1000000000000001</v>
      </c>
      <c r="Z8">
        <v>153.68</v>
      </c>
      <c r="AA8">
        <v>70180</v>
      </c>
      <c r="AB8">
        <v>5</v>
      </c>
      <c r="AC8">
        <v>3713473</v>
      </c>
      <c r="AD8">
        <v>2866</v>
      </c>
      <c r="AE8">
        <v>13687</v>
      </c>
      <c r="AF8">
        <v>10843.21</v>
      </c>
      <c r="AG8">
        <v>393.91</v>
      </c>
      <c r="AH8">
        <v>3819.62</v>
      </c>
      <c r="AI8">
        <v>18.489999999999998</v>
      </c>
      <c r="AJ8">
        <v>1713.91</v>
      </c>
      <c r="AK8">
        <v>1.7</v>
      </c>
      <c r="AL8">
        <v>3191.5</v>
      </c>
      <c r="AM8">
        <v>5.7</v>
      </c>
      <c r="AN8">
        <v>7</v>
      </c>
      <c r="AO8">
        <v>1680</v>
      </c>
      <c r="AP8">
        <v>52.2</v>
      </c>
      <c r="AQ8">
        <v>12.2</v>
      </c>
      <c r="AR8">
        <v>63.6</v>
      </c>
      <c r="AS8">
        <v>16.3</v>
      </c>
      <c r="AT8">
        <v>2.79</v>
      </c>
      <c r="AU8">
        <v>4</v>
      </c>
      <c r="AV8">
        <v>2.5</v>
      </c>
      <c r="AW8">
        <v>13.09</v>
      </c>
      <c r="AX8">
        <v>20224</v>
      </c>
      <c r="AY8">
        <v>464.8</v>
      </c>
      <c r="AZ8">
        <v>0.95622626003703926</v>
      </c>
      <c r="BA8">
        <v>5.8247130583527209</v>
      </c>
      <c r="BB8">
        <v>4.5999999999999996</v>
      </c>
      <c r="BC8">
        <v>120290</v>
      </c>
      <c r="BD8">
        <v>63.3</v>
      </c>
      <c r="BE8">
        <v>59.1</v>
      </c>
      <c r="BF8">
        <v>32.4</v>
      </c>
      <c r="BG8">
        <v>70.8</v>
      </c>
    </row>
    <row r="9" spans="1:59" x14ac:dyDescent="0.3">
      <c r="A9" t="s">
        <v>55</v>
      </c>
      <c r="B9">
        <v>954133</v>
      </c>
      <c r="C9">
        <v>101</v>
      </c>
      <c r="D9">
        <v>53.2</v>
      </c>
      <c r="E9">
        <v>5.7863002327767719</v>
      </c>
      <c r="F9">
        <v>9.9</v>
      </c>
      <c r="G9">
        <v>-5.73</v>
      </c>
      <c r="H9">
        <v>-1.2</v>
      </c>
      <c r="I9">
        <v>980</v>
      </c>
      <c r="J9">
        <v>13.967230034834214</v>
      </c>
      <c r="K9">
        <v>233</v>
      </c>
      <c r="L9">
        <v>21652</v>
      </c>
      <c r="M9">
        <f>L9/B9*10000</f>
        <v>226.92853092807815</v>
      </c>
      <c r="N9">
        <v>81</v>
      </c>
      <c r="O9">
        <v>72963</v>
      </c>
      <c r="P9">
        <v>1232</v>
      </c>
      <c r="Q9">
        <v>469.91</v>
      </c>
      <c r="R9">
        <v>71</v>
      </c>
      <c r="S9">
        <v>7958.35</v>
      </c>
      <c r="T9">
        <v>0.08</v>
      </c>
      <c r="U9">
        <v>730.1</v>
      </c>
      <c r="V9">
        <v>10409.5</v>
      </c>
      <c r="W9">
        <v>8636</v>
      </c>
      <c r="X9">
        <v>4786</v>
      </c>
      <c r="Y9">
        <v>0.9</v>
      </c>
      <c r="Z9">
        <v>29.91</v>
      </c>
      <c r="AA9">
        <v>13845</v>
      </c>
      <c r="AB9">
        <v>8.3000000000000007</v>
      </c>
      <c r="AC9">
        <v>582189</v>
      </c>
      <c r="AD9">
        <v>494</v>
      </c>
      <c r="AE9">
        <v>7197</v>
      </c>
      <c r="AF9">
        <v>8618.2900000000009</v>
      </c>
      <c r="AG9">
        <v>337.92</v>
      </c>
      <c r="AH9">
        <v>3039.54</v>
      </c>
      <c r="AI9">
        <v>14.94</v>
      </c>
      <c r="AJ9">
        <v>1417.39</v>
      </c>
      <c r="AK9">
        <v>3.2</v>
      </c>
      <c r="AL9">
        <v>3935</v>
      </c>
      <c r="AM9">
        <v>5</v>
      </c>
      <c r="AN9">
        <v>3</v>
      </c>
      <c r="AO9">
        <v>958</v>
      </c>
      <c r="AP9">
        <v>25.7</v>
      </c>
      <c r="AQ9">
        <v>7.2</v>
      </c>
      <c r="AR9">
        <v>55.4</v>
      </c>
      <c r="AS9">
        <v>12.9</v>
      </c>
      <c r="AT9">
        <v>2.72</v>
      </c>
      <c r="AU9">
        <v>5.9</v>
      </c>
      <c r="AV9">
        <v>2.9</v>
      </c>
      <c r="AW9">
        <v>8.4600000000000009</v>
      </c>
      <c r="AX9">
        <v>8273</v>
      </c>
      <c r="AY9">
        <v>398</v>
      </c>
      <c r="AZ9">
        <v>1.0219749238313738</v>
      </c>
      <c r="BA9">
        <v>11.911139848512839</v>
      </c>
      <c r="BB9">
        <v>10.6</v>
      </c>
      <c r="BC9">
        <v>19570</v>
      </c>
      <c r="BD9">
        <v>59.5</v>
      </c>
      <c r="BE9">
        <v>60.3</v>
      </c>
      <c r="BF9">
        <v>20.7</v>
      </c>
      <c r="BG9">
        <v>70.5</v>
      </c>
    </row>
    <row r="10" spans="1:59" x14ac:dyDescent="0.3">
      <c r="A10" t="s">
        <v>56</v>
      </c>
      <c r="B10">
        <v>2093360</v>
      </c>
      <c r="C10">
        <v>117</v>
      </c>
      <c r="D10">
        <v>41.3</v>
      </c>
      <c r="E10">
        <v>6.4209691596285392</v>
      </c>
      <c r="F10">
        <v>8.8000000000000007</v>
      </c>
      <c r="G10">
        <v>-3.12</v>
      </c>
      <c r="H10">
        <v>-1.2</v>
      </c>
      <c r="I10">
        <v>940</v>
      </c>
      <c r="J10">
        <v>14.720645161290323</v>
      </c>
      <c r="K10">
        <v>221</v>
      </c>
      <c r="L10">
        <v>45634</v>
      </c>
      <c r="M10">
        <f>L10/B10*10000</f>
        <v>217.99403829250582</v>
      </c>
      <c r="N10">
        <v>84.1</v>
      </c>
      <c r="O10">
        <v>64987</v>
      </c>
      <c r="P10">
        <v>1038</v>
      </c>
      <c r="Q10">
        <v>473.35</v>
      </c>
      <c r="R10">
        <v>73</v>
      </c>
      <c r="S10">
        <v>7514.69</v>
      </c>
      <c r="T10">
        <v>7.0000000000000007E-2</v>
      </c>
      <c r="U10">
        <v>491</v>
      </c>
      <c r="V10">
        <v>20577.7</v>
      </c>
      <c r="W10">
        <v>17143.099999999999</v>
      </c>
      <c r="X10">
        <v>11007</v>
      </c>
      <c r="Y10">
        <v>1.5</v>
      </c>
      <c r="Z10">
        <v>22.51</v>
      </c>
      <c r="AA10">
        <v>29325</v>
      </c>
      <c r="AB10">
        <v>5.5</v>
      </c>
      <c r="AC10">
        <v>1192094</v>
      </c>
      <c r="AD10">
        <v>1015</v>
      </c>
      <c r="AE10">
        <v>4557</v>
      </c>
      <c r="AF10">
        <v>8554.35</v>
      </c>
      <c r="AG10">
        <v>307.3</v>
      </c>
      <c r="AH10">
        <v>3121.56</v>
      </c>
      <c r="AI10">
        <v>19.25</v>
      </c>
      <c r="AJ10">
        <v>1885.43</v>
      </c>
      <c r="AK10">
        <v>3.2</v>
      </c>
      <c r="AL10">
        <v>4132.2</v>
      </c>
      <c r="AM10">
        <v>3.8</v>
      </c>
      <c r="AN10">
        <v>4</v>
      </c>
      <c r="AO10">
        <v>1576</v>
      </c>
      <c r="AP10">
        <v>28.6</v>
      </c>
      <c r="AQ10">
        <v>8.1999999999999993</v>
      </c>
      <c r="AR10">
        <v>65</v>
      </c>
      <c r="AS10">
        <v>16.8</v>
      </c>
      <c r="AT10">
        <v>2.5099999999999998</v>
      </c>
      <c r="AU10">
        <v>8.6999999999999993</v>
      </c>
      <c r="AV10">
        <v>4</v>
      </c>
      <c r="AW10">
        <v>16.739999999999998</v>
      </c>
      <c r="AX10">
        <v>17270</v>
      </c>
      <c r="AY10">
        <v>353</v>
      </c>
      <c r="AZ10">
        <v>0.62717353919058361</v>
      </c>
      <c r="BA10">
        <v>9.1466888723320334</v>
      </c>
      <c r="BB10">
        <v>7.2</v>
      </c>
      <c r="BC10">
        <v>13762</v>
      </c>
      <c r="BD10">
        <v>52.7</v>
      </c>
      <c r="BE10">
        <v>60.1</v>
      </c>
      <c r="BF10">
        <v>22.2</v>
      </c>
      <c r="BG10">
        <v>69.8</v>
      </c>
    </row>
    <row r="11" spans="1:59" x14ac:dyDescent="0.3">
      <c r="A11" t="s">
        <v>57</v>
      </c>
      <c r="B11">
        <v>1154283</v>
      </c>
      <c r="C11">
        <v>57</v>
      </c>
      <c r="D11">
        <v>60.9</v>
      </c>
      <c r="E11">
        <v>5.9628358036980531</v>
      </c>
      <c r="F11">
        <v>9.1999999999999993</v>
      </c>
      <c r="G11">
        <v>-3.92</v>
      </c>
      <c r="H11">
        <v>-1.1000000000000001</v>
      </c>
      <c r="I11">
        <v>946</v>
      </c>
      <c r="J11">
        <v>11.094423012097831</v>
      </c>
      <c r="K11">
        <v>262</v>
      </c>
      <c r="L11">
        <v>29621</v>
      </c>
      <c r="M11">
        <f>L11/B11*10000</f>
        <v>256.61817769125946</v>
      </c>
      <c r="N11">
        <v>82.4</v>
      </c>
      <c r="O11">
        <v>70079</v>
      </c>
      <c r="P11">
        <v>1093</v>
      </c>
      <c r="Q11">
        <v>397.31</v>
      </c>
      <c r="R11">
        <v>76</v>
      </c>
      <c r="S11">
        <v>7850.16</v>
      </c>
      <c r="T11">
        <v>0.82</v>
      </c>
      <c r="U11">
        <v>456</v>
      </c>
      <c r="V11">
        <v>27367.3</v>
      </c>
      <c r="W11">
        <v>15371.2</v>
      </c>
      <c r="X11">
        <v>7384</v>
      </c>
      <c r="Y11">
        <v>1.1000000000000001</v>
      </c>
      <c r="Z11">
        <v>56.6</v>
      </c>
      <c r="AA11">
        <v>30355</v>
      </c>
      <c r="AB11">
        <v>3.8</v>
      </c>
      <c r="AC11">
        <v>623246</v>
      </c>
      <c r="AD11">
        <v>347</v>
      </c>
      <c r="AE11">
        <v>3702</v>
      </c>
      <c r="AF11">
        <v>9329.51</v>
      </c>
      <c r="AG11">
        <v>336.86</v>
      </c>
      <c r="AH11">
        <v>3355.05</v>
      </c>
      <c r="AI11">
        <v>22.95</v>
      </c>
      <c r="AJ11">
        <v>2219.9899999999998</v>
      </c>
      <c r="AK11">
        <v>2</v>
      </c>
      <c r="AL11">
        <v>4311.1000000000004</v>
      </c>
      <c r="AM11">
        <v>3.7</v>
      </c>
      <c r="AN11">
        <v>4</v>
      </c>
      <c r="AO11">
        <v>1557</v>
      </c>
      <c r="AP11">
        <v>41.4</v>
      </c>
      <c r="AQ11">
        <v>11.1</v>
      </c>
      <c r="AR11">
        <v>63.2</v>
      </c>
      <c r="AS11">
        <v>16.8</v>
      </c>
      <c r="AT11">
        <v>2.4500000000000002</v>
      </c>
      <c r="AU11">
        <v>7</v>
      </c>
      <c r="AV11">
        <v>4.3</v>
      </c>
      <c r="AW11">
        <v>12.73</v>
      </c>
      <c r="AX11">
        <v>11274</v>
      </c>
      <c r="AY11">
        <v>425</v>
      </c>
      <c r="AZ11">
        <v>0.61943214965480731</v>
      </c>
      <c r="BA11">
        <v>11.866581141757537</v>
      </c>
      <c r="BB11">
        <v>6.1</v>
      </c>
      <c r="BC11">
        <v>13009</v>
      </c>
      <c r="BD11">
        <v>56.1</v>
      </c>
      <c r="BE11">
        <v>59.6</v>
      </c>
      <c r="BF11">
        <v>23.8</v>
      </c>
      <c r="BG11">
        <v>72.099999999999994</v>
      </c>
    </row>
    <row r="12" spans="1:59" x14ac:dyDescent="0.3">
      <c r="A12" t="s">
        <v>58</v>
      </c>
      <c r="B12">
        <v>2357320</v>
      </c>
      <c r="C12">
        <v>129</v>
      </c>
      <c r="D12">
        <v>63.1</v>
      </c>
      <c r="E12">
        <v>3.7803522644358849</v>
      </c>
      <c r="F12">
        <v>13.8</v>
      </c>
      <c r="G12">
        <v>-2.4700000000000002</v>
      </c>
      <c r="H12">
        <v>2.2999999999999998</v>
      </c>
      <c r="I12">
        <v>921</v>
      </c>
      <c r="J12">
        <v>15.089281462787486</v>
      </c>
      <c r="K12">
        <v>403</v>
      </c>
      <c r="L12">
        <v>95067</v>
      </c>
      <c r="M12">
        <f>L12/B12*10000</f>
        <v>403.28423803302053</v>
      </c>
      <c r="N12">
        <v>83.1</v>
      </c>
      <c r="O12">
        <v>86643</v>
      </c>
      <c r="P12">
        <v>1567</v>
      </c>
      <c r="Q12">
        <v>601.32000000000005</v>
      </c>
      <c r="R12">
        <v>121</v>
      </c>
      <c r="S12">
        <v>8620.2800000000007</v>
      </c>
      <c r="T12">
        <v>1.79</v>
      </c>
      <c r="U12">
        <v>930.4</v>
      </c>
      <c r="V12">
        <v>20982.9</v>
      </c>
      <c r="W12">
        <v>15472.4</v>
      </c>
      <c r="X12">
        <v>10821</v>
      </c>
      <c r="Y12">
        <v>1.4</v>
      </c>
      <c r="Z12">
        <v>124.78</v>
      </c>
      <c r="AA12">
        <v>29162</v>
      </c>
      <c r="AB12">
        <v>6.4</v>
      </c>
      <c r="AC12">
        <v>1377506</v>
      </c>
      <c r="AD12">
        <v>1686</v>
      </c>
      <c r="AE12">
        <v>7456</v>
      </c>
      <c r="AF12">
        <v>9257.75</v>
      </c>
      <c r="AG12">
        <v>299.87</v>
      </c>
      <c r="AH12">
        <v>3362.2</v>
      </c>
      <c r="AI12">
        <v>10.86</v>
      </c>
      <c r="AJ12">
        <v>1400.22</v>
      </c>
      <c r="AK12">
        <v>1.3</v>
      </c>
      <c r="AL12">
        <v>2087.9</v>
      </c>
      <c r="AM12">
        <v>5.4</v>
      </c>
      <c r="AN12">
        <v>4</v>
      </c>
      <c r="AO12">
        <v>1583</v>
      </c>
      <c r="AP12">
        <v>36.799999999999997</v>
      </c>
      <c r="AQ12">
        <v>10.1</v>
      </c>
      <c r="AR12">
        <v>45.8</v>
      </c>
      <c r="AS12">
        <v>12</v>
      </c>
      <c r="AT12">
        <v>1.74</v>
      </c>
      <c r="AU12">
        <v>4.5999999999999996</v>
      </c>
      <c r="AV12">
        <v>3.3</v>
      </c>
      <c r="AW12">
        <v>49.07</v>
      </c>
      <c r="AX12">
        <v>46251</v>
      </c>
      <c r="AY12">
        <v>425</v>
      </c>
      <c r="AZ12">
        <v>0.87357677362428521</v>
      </c>
      <c r="BA12">
        <v>8.275216426309866</v>
      </c>
      <c r="BB12">
        <v>6.3</v>
      </c>
      <c r="BC12">
        <v>46931</v>
      </c>
      <c r="BD12">
        <v>60.1</v>
      </c>
      <c r="BE12">
        <v>59.6</v>
      </c>
      <c r="BF12">
        <v>25.4</v>
      </c>
      <c r="BG12">
        <v>70.3</v>
      </c>
    </row>
    <row r="13" spans="1:59" x14ac:dyDescent="0.3">
      <c r="A13" t="s">
        <v>59</v>
      </c>
      <c r="B13">
        <v>4402950</v>
      </c>
      <c r="C13">
        <v>355</v>
      </c>
      <c r="D13">
        <v>76.099999999999994</v>
      </c>
      <c r="E13">
        <v>3.1418935032194324</v>
      </c>
      <c r="F13">
        <v>9.6</v>
      </c>
      <c r="G13">
        <v>-6.05</v>
      </c>
      <c r="H13">
        <v>-0.7</v>
      </c>
      <c r="I13">
        <v>974</v>
      </c>
      <c r="J13">
        <v>14.224033639107812</v>
      </c>
      <c r="K13">
        <v>282</v>
      </c>
      <c r="L13">
        <v>121102</v>
      </c>
      <c r="M13">
        <f>L13/B13*10000</f>
        <v>275.04741139463317</v>
      </c>
      <c r="N13">
        <v>84.3</v>
      </c>
      <c r="O13">
        <v>93591</v>
      </c>
      <c r="P13">
        <v>1271</v>
      </c>
      <c r="Q13">
        <v>540.98</v>
      </c>
      <c r="R13">
        <v>82</v>
      </c>
      <c r="S13">
        <v>8537.5400000000009</v>
      </c>
      <c r="T13">
        <v>1.76</v>
      </c>
      <c r="U13">
        <v>1323.2</v>
      </c>
      <c r="V13">
        <v>24539.599999999999</v>
      </c>
      <c r="W13">
        <v>21838.5</v>
      </c>
      <c r="X13">
        <v>15037</v>
      </c>
      <c r="Y13">
        <v>3.2</v>
      </c>
      <c r="Z13">
        <v>79.680000000000007</v>
      </c>
      <c r="AA13">
        <v>9105</v>
      </c>
      <c r="AB13">
        <v>15.3</v>
      </c>
      <c r="AC13">
        <v>2521665</v>
      </c>
      <c r="AD13">
        <v>1786</v>
      </c>
      <c r="AE13">
        <v>7615</v>
      </c>
      <c r="AF13">
        <v>8987.23</v>
      </c>
      <c r="AG13">
        <v>270.11</v>
      </c>
      <c r="AH13">
        <v>3402.3</v>
      </c>
      <c r="AI13">
        <v>24.06</v>
      </c>
      <c r="AJ13">
        <v>1279.55</v>
      </c>
      <c r="AK13">
        <v>1.7</v>
      </c>
      <c r="AL13">
        <v>3478.7</v>
      </c>
      <c r="AM13">
        <v>5.5</v>
      </c>
      <c r="AN13">
        <v>4</v>
      </c>
      <c r="AO13">
        <v>1531</v>
      </c>
      <c r="AP13">
        <v>38.299999999999997</v>
      </c>
      <c r="AQ13">
        <v>9.3000000000000007</v>
      </c>
      <c r="AR13">
        <v>60.9</v>
      </c>
      <c r="AS13">
        <v>14.2</v>
      </c>
      <c r="AT13">
        <v>2.46</v>
      </c>
      <c r="AU13">
        <v>3.6</v>
      </c>
      <c r="AV13">
        <v>2.2000000000000002</v>
      </c>
      <c r="AW13">
        <v>11.24</v>
      </c>
      <c r="AX13">
        <v>14305</v>
      </c>
      <c r="AY13">
        <v>445</v>
      </c>
      <c r="AZ13">
        <v>0.72480950271976741</v>
      </c>
      <c r="BA13">
        <v>7.7364535680665885</v>
      </c>
      <c r="BB13">
        <v>6</v>
      </c>
      <c r="BC13">
        <v>147216</v>
      </c>
      <c r="BD13">
        <v>55.9</v>
      </c>
      <c r="BE13">
        <v>58.9</v>
      </c>
      <c r="BF13">
        <v>22.8</v>
      </c>
      <c r="BG13">
        <v>73.599999999999994</v>
      </c>
    </row>
    <row r="14" spans="1:59" x14ac:dyDescent="0.3">
      <c r="A14" t="s">
        <v>60</v>
      </c>
      <c r="B14">
        <v>1196557</v>
      </c>
      <c r="C14">
        <v>101</v>
      </c>
      <c r="D14">
        <v>45</v>
      </c>
      <c r="E14">
        <v>4.5242307721236852</v>
      </c>
      <c r="F14">
        <v>8.8000000000000007</v>
      </c>
      <c r="G14">
        <v>-6.69</v>
      </c>
      <c r="H14">
        <v>-2.2999999999999998</v>
      </c>
      <c r="I14">
        <v>934</v>
      </c>
      <c r="J14">
        <v>12.972480777013356</v>
      </c>
      <c r="K14">
        <v>166</v>
      </c>
      <c r="L14">
        <v>19233</v>
      </c>
      <c r="M14">
        <f>L14/B14*10000</f>
        <v>160.73617888658879</v>
      </c>
      <c r="N14">
        <v>85.8</v>
      </c>
      <c r="O14">
        <v>67847</v>
      </c>
      <c r="P14">
        <v>1140</v>
      </c>
      <c r="Q14">
        <v>389.77</v>
      </c>
      <c r="R14">
        <v>76</v>
      </c>
      <c r="S14">
        <v>7664.18</v>
      </c>
      <c r="T14">
        <v>0.48</v>
      </c>
      <c r="U14">
        <v>460.2</v>
      </c>
      <c r="V14">
        <v>17203.599999999999</v>
      </c>
      <c r="W14">
        <v>14862.3</v>
      </c>
      <c r="X14">
        <v>14048</v>
      </c>
      <c r="Y14">
        <v>1.3</v>
      </c>
      <c r="Z14">
        <v>41.18</v>
      </c>
      <c r="AA14">
        <v>15454</v>
      </c>
      <c r="AB14">
        <v>6.2</v>
      </c>
      <c r="AC14">
        <v>670137</v>
      </c>
      <c r="AD14">
        <v>665</v>
      </c>
      <c r="AE14">
        <v>3908</v>
      </c>
      <c r="AF14">
        <v>8239.69</v>
      </c>
      <c r="AG14">
        <v>310.55</v>
      </c>
      <c r="AH14">
        <v>2768.03</v>
      </c>
      <c r="AI14">
        <v>22.42</v>
      </c>
      <c r="AJ14">
        <v>1567.54</v>
      </c>
      <c r="AK14">
        <v>2.2000000000000002</v>
      </c>
      <c r="AL14">
        <v>3657</v>
      </c>
      <c r="AM14">
        <v>3.2</v>
      </c>
      <c r="AN14">
        <v>3</v>
      </c>
      <c r="AO14">
        <v>1461</v>
      </c>
      <c r="AP14">
        <v>32.200000000000003</v>
      </c>
      <c r="AQ14">
        <v>8.6999999999999993</v>
      </c>
      <c r="AR14">
        <v>70.2</v>
      </c>
      <c r="AS14">
        <v>16</v>
      </c>
      <c r="AT14">
        <v>2.36</v>
      </c>
      <c r="AU14">
        <v>7.6</v>
      </c>
      <c r="AV14">
        <v>4.3</v>
      </c>
      <c r="AW14">
        <v>16.579999999999998</v>
      </c>
      <c r="AX14">
        <v>17580</v>
      </c>
      <c r="AY14">
        <v>398</v>
      </c>
      <c r="AZ14">
        <v>0.76828767873156067</v>
      </c>
      <c r="BA14">
        <v>11.4646700982686</v>
      </c>
      <c r="BB14">
        <v>6.2</v>
      </c>
      <c r="BC14">
        <v>10559</v>
      </c>
      <c r="BD14">
        <v>55.5</v>
      </c>
      <c r="BE14">
        <v>58.3</v>
      </c>
      <c r="BF14">
        <v>22.8</v>
      </c>
      <c r="BG14">
        <v>75.599999999999994</v>
      </c>
    </row>
    <row r="15" spans="1:59" x14ac:dyDescent="0.3">
      <c r="A15" t="s">
        <v>61</v>
      </c>
      <c r="B15">
        <v>1382232</v>
      </c>
      <c r="C15">
        <v>57</v>
      </c>
      <c r="D15">
        <v>59.3</v>
      </c>
      <c r="E15">
        <v>5.3130010012790905</v>
      </c>
      <c r="F15">
        <v>10.7</v>
      </c>
      <c r="G15">
        <v>-4.71</v>
      </c>
      <c r="H15">
        <v>-1.8</v>
      </c>
      <c r="I15">
        <v>903</v>
      </c>
      <c r="J15">
        <v>11.237521099590065</v>
      </c>
      <c r="K15">
        <v>173</v>
      </c>
      <c r="L15">
        <v>23301</v>
      </c>
      <c r="M15">
        <f>L15/B15*10000</f>
        <v>168.57517406629279</v>
      </c>
      <c r="N15">
        <v>84.4</v>
      </c>
      <c r="O15">
        <v>64077</v>
      </c>
      <c r="P15">
        <v>1113</v>
      </c>
      <c r="Q15">
        <v>332.28</v>
      </c>
      <c r="R15">
        <v>78</v>
      </c>
      <c r="S15">
        <v>7529.41</v>
      </c>
      <c r="T15">
        <v>0</v>
      </c>
      <c r="U15">
        <v>398</v>
      </c>
      <c r="V15">
        <v>22304</v>
      </c>
      <c r="W15">
        <v>14801.1</v>
      </c>
      <c r="X15">
        <v>7953</v>
      </c>
      <c r="Y15">
        <v>1.1000000000000001</v>
      </c>
      <c r="Z15">
        <v>47.76</v>
      </c>
      <c r="AA15">
        <v>20635</v>
      </c>
      <c r="AB15">
        <v>4.5999999999999996</v>
      </c>
      <c r="AC15">
        <v>767954</v>
      </c>
      <c r="AD15">
        <v>758</v>
      </c>
      <c r="AE15">
        <v>3862</v>
      </c>
      <c r="AF15">
        <v>8375.73</v>
      </c>
      <c r="AG15">
        <v>331.08</v>
      </c>
      <c r="AH15">
        <v>2872.77</v>
      </c>
      <c r="AI15">
        <v>11.33</v>
      </c>
      <c r="AJ15">
        <v>1575.65</v>
      </c>
      <c r="AK15">
        <v>2.1</v>
      </c>
      <c r="AL15">
        <v>2839.2</v>
      </c>
      <c r="AM15">
        <v>4.5</v>
      </c>
      <c r="AN15">
        <v>3</v>
      </c>
      <c r="AO15">
        <v>2412</v>
      </c>
      <c r="AP15">
        <v>26.4</v>
      </c>
      <c r="AQ15">
        <v>7.1</v>
      </c>
      <c r="AR15">
        <v>53</v>
      </c>
      <c r="AS15">
        <v>12.2</v>
      </c>
      <c r="AT15">
        <v>1.73</v>
      </c>
      <c r="AU15">
        <v>8.4</v>
      </c>
      <c r="AV15">
        <v>5.2</v>
      </c>
      <c r="AW15">
        <v>30.84</v>
      </c>
      <c r="AX15">
        <v>25723</v>
      </c>
      <c r="AY15">
        <v>413</v>
      </c>
      <c r="AZ15">
        <v>0.69402242170634154</v>
      </c>
      <c r="BA15">
        <v>9.0039054117849009</v>
      </c>
      <c r="BB15">
        <v>8.6</v>
      </c>
      <c r="BC15">
        <v>23979</v>
      </c>
      <c r="BD15">
        <v>54.3</v>
      </c>
      <c r="BE15">
        <v>59.9</v>
      </c>
      <c r="BF15">
        <v>20.2</v>
      </c>
      <c r="BG15">
        <v>70.900000000000006</v>
      </c>
    </row>
    <row r="16" spans="1:59" x14ac:dyDescent="0.3">
      <c r="A16" t="s">
        <v>62</v>
      </c>
      <c r="B16">
        <v>3504579</v>
      </c>
      <c r="C16">
        <v>117</v>
      </c>
      <c r="D16">
        <v>53.8</v>
      </c>
      <c r="E16">
        <v>2.5928364006061786</v>
      </c>
      <c r="F16">
        <v>13.4</v>
      </c>
      <c r="G16">
        <v>-2.8</v>
      </c>
      <c r="H16">
        <v>0.6</v>
      </c>
      <c r="I16">
        <v>966</v>
      </c>
      <c r="J16">
        <v>12.532474741867436</v>
      </c>
      <c r="K16">
        <v>324</v>
      </c>
      <c r="L16">
        <v>112880</v>
      </c>
      <c r="M16">
        <f>L16/B16*10000</f>
        <v>322.09289617954113</v>
      </c>
      <c r="N16">
        <v>83</v>
      </c>
      <c r="O16">
        <v>95104</v>
      </c>
      <c r="P16">
        <v>1491</v>
      </c>
      <c r="Q16">
        <v>596.51</v>
      </c>
      <c r="R16">
        <v>105</v>
      </c>
      <c r="S16">
        <v>7759.22</v>
      </c>
      <c r="T16">
        <v>0.25</v>
      </c>
      <c r="U16">
        <v>1026.7</v>
      </c>
      <c r="V16">
        <v>41167.4</v>
      </c>
      <c r="W16">
        <v>31296.799999999999</v>
      </c>
      <c r="X16">
        <v>17317</v>
      </c>
      <c r="Y16">
        <v>1.9</v>
      </c>
      <c r="Z16">
        <v>90.44</v>
      </c>
      <c r="AA16">
        <v>35094</v>
      </c>
      <c r="AB16">
        <v>6.4</v>
      </c>
      <c r="AC16">
        <v>2289238</v>
      </c>
      <c r="AD16">
        <v>2469</v>
      </c>
      <c r="AE16">
        <v>6894</v>
      </c>
      <c r="AF16">
        <v>8604.0400000000009</v>
      </c>
      <c r="AG16">
        <v>304.82</v>
      </c>
      <c r="AH16">
        <v>3345.34</v>
      </c>
      <c r="AI16">
        <v>21.1</v>
      </c>
      <c r="AJ16">
        <v>1557.5</v>
      </c>
      <c r="AK16">
        <v>1.8</v>
      </c>
      <c r="AL16">
        <v>3278.7</v>
      </c>
      <c r="AM16">
        <v>4.0999999999999996</v>
      </c>
      <c r="AN16">
        <v>3</v>
      </c>
      <c r="AO16">
        <v>1205</v>
      </c>
      <c r="AP16">
        <v>30.7</v>
      </c>
      <c r="AQ16">
        <v>8.8000000000000007</v>
      </c>
      <c r="AR16">
        <v>48</v>
      </c>
      <c r="AS16">
        <v>15.4</v>
      </c>
      <c r="AT16">
        <v>1.91</v>
      </c>
      <c r="AU16">
        <v>2.9</v>
      </c>
      <c r="AV16">
        <v>3</v>
      </c>
      <c r="AW16">
        <v>11.66</v>
      </c>
      <c r="AX16">
        <v>11057</v>
      </c>
      <c r="AY16">
        <v>398</v>
      </c>
      <c r="AZ16">
        <v>0.69195187210789089</v>
      </c>
      <c r="BA16">
        <v>8.1626506024096379</v>
      </c>
      <c r="BB16">
        <v>4.3</v>
      </c>
      <c r="BC16">
        <v>46662</v>
      </c>
      <c r="BD16">
        <v>59.9</v>
      </c>
      <c r="BE16">
        <v>59.6</v>
      </c>
      <c r="BF16">
        <v>23.1</v>
      </c>
      <c r="BG16">
        <v>70.5</v>
      </c>
    </row>
    <row r="17" spans="1:59" x14ac:dyDescent="0.3">
      <c r="A17" t="s">
        <v>63</v>
      </c>
      <c r="B17">
        <v>1657716</v>
      </c>
      <c r="C17">
        <v>72</v>
      </c>
      <c r="D17">
        <v>68.400000000000006</v>
      </c>
      <c r="E17">
        <v>4.6134561046644897</v>
      </c>
      <c r="F17">
        <v>10.8</v>
      </c>
      <c r="G17">
        <v>-5.65</v>
      </c>
      <c r="H17">
        <v>-0.1</v>
      </c>
      <c r="I17">
        <v>932</v>
      </c>
      <c r="J17">
        <v>10.729815455594002</v>
      </c>
      <c r="K17">
        <v>229</v>
      </c>
      <c r="L17">
        <v>37211</v>
      </c>
      <c r="M17">
        <f>L17/B17*10000</f>
        <v>224.47150175301439</v>
      </c>
      <c r="N17">
        <v>82.7</v>
      </c>
      <c r="O17">
        <v>74398</v>
      </c>
      <c r="P17">
        <v>1572</v>
      </c>
      <c r="Q17">
        <v>490.3</v>
      </c>
      <c r="R17">
        <v>104</v>
      </c>
      <c r="S17">
        <v>8027.37</v>
      </c>
      <c r="T17">
        <v>0.87</v>
      </c>
      <c r="U17">
        <v>591.79999999999995</v>
      </c>
      <c r="V17">
        <v>18676.5</v>
      </c>
      <c r="W17">
        <v>14199.4</v>
      </c>
      <c r="X17">
        <v>7554</v>
      </c>
      <c r="Y17">
        <v>1.4</v>
      </c>
      <c r="Z17">
        <v>117.13</v>
      </c>
      <c r="AA17">
        <v>29590</v>
      </c>
      <c r="AB17">
        <v>5.4</v>
      </c>
      <c r="AC17">
        <v>941493</v>
      </c>
      <c r="AD17">
        <v>747</v>
      </c>
      <c r="AE17">
        <v>5331</v>
      </c>
      <c r="AF17">
        <v>9044.31</v>
      </c>
      <c r="AG17">
        <v>359.04</v>
      </c>
      <c r="AH17">
        <v>2901.72</v>
      </c>
      <c r="AI17">
        <v>9.8000000000000007</v>
      </c>
      <c r="AJ17">
        <v>1655.63</v>
      </c>
      <c r="AK17">
        <v>2.1</v>
      </c>
      <c r="AL17">
        <v>3632.9</v>
      </c>
      <c r="AM17">
        <v>6</v>
      </c>
      <c r="AN17">
        <v>3</v>
      </c>
      <c r="AO17">
        <v>1755</v>
      </c>
      <c r="AP17">
        <v>34</v>
      </c>
      <c r="AQ17">
        <v>10.7</v>
      </c>
      <c r="AR17">
        <v>48.1</v>
      </c>
      <c r="AS17">
        <v>12.6</v>
      </c>
      <c r="AT17">
        <v>1.53</v>
      </c>
      <c r="AU17">
        <v>6.8</v>
      </c>
      <c r="AV17">
        <v>3.3</v>
      </c>
      <c r="AW17">
        <v>94.5</v>
      </c>
      <c r="AX17">
        <v>101574</v>
      </c>
      <c r="AY17">
        <v>445</v>
      </c>
      <c r="AZ17">
        <v>1.0582029732475284</v>
      </c>
      <c r="BA17">
        <v>18.27954099594206</v>
      </c>
      <c r="BB17">
        <v>12.3</v>
      </c>
      <c r="BC17">
        <v>42599</v>
      </c>
      <c r="BD17">
        <v>58.1</v>
      </c>
      <c r="BE17">
        <v>59.2</v>
      </c>
      <c r="BF17">
        <v>22.6</v>
      </c>
      <c r="BG17">
        <v>72.7</v>
      </c>
    </row>
    <row r="21" spans="1:59" x14ac:dyDescent="0.3">
      <c r="K21" s="13"/>
      <c r="L21" s="13"/>
      <c r="M21" s="13"/>
      <c r="R21" s="14"/>
    </row>
    <row r="22" spans="1:59" x14ac:dyDescent="0.3">
      <c r="K22" s="13"/>
      <c r="L22" s="13"/>
      <c r="M22" s="13"/>
      <c r="R22" s="14"/>
    </row>
    <row r="23" spans="1:59" x14ac:dyDescent="0.3">
      <c r="K23" s="13"/>
      <c r="L23" s="13"/>
      <c r="M23" s="13"/>
      <c r="R23" s="14"/>
    </row>
    <row r="24" spans="1:59" x14ac:dyDescent="0.3">
      <c r="K24" s="13"/>
      <c r="L24" s="13"/>
      <c r="M24" s="13"/>
      <c r="R24" s="14"/>
    </row>
    <row r="25" spans="1:59" x14ac:dyDescent="0.3">
      <c r="K25" s="13"/>
      <c r="L25" s="13"/>
      <c r="M25" s="13"/>
      <c r="R25" s="14"/>
    </row>
    <row r="26" spans="1:59" x14ac:dyDescent="0.3">
      <c r="K26" s="13"/>
      <c r="L26" s="13"/>
      <c r="M26" s="13"/>
      <c r="R26" s="14"/>
    </row>
    <row r="27" spans="1:59" x14ac:dyDescent="0.3">
      <c r="K27" s="13"/>
      <c r="L27" s="13"/>
      <c r="M27" s="13"/>
      <c r="R27" s="14"/>
    </row>
    <row r="28" spans="1:59" x14ac:dyDescent="0.3">
      <c r="K28" s="13"/>
      <c r="L28" s="13"/>
      <c r="M28" s="13"/>
      <c r="R28" s="14"/>
    </row>
    <row r="29" spans="1:59" x14ac:dyDescent="0.3">
      <c r="K29" s="13"/>
      <c r="L29" s="13"/>
      <c r="M29" s="13"/>
      <c r="R29" s="14"/>
    </row>
    <row r="30" spans="1:59" x14ac:dyDescent="0.3">
      <c r="K30" s="13"/>
      <c r="L30" s="13"/>
      <c r="M30" s="13"/>
      <c r="R30" s="14"/>
    </row>
    <row r="31" spans="1:59" x14ac:dyDescent="0.3">
      <c r="K31" s="13"/>
      <c r="L31" s="13"/>
      <c r="M31" s="13"/>
      <c r="R31" s="14"/>
    </row>
    <row r="32" spans="1:59" x14ac:dyDescent="0.3">
      <c r="K32" s="13"/>
      <c r="L32" s="13"/>
      <c r="M32" s="13"/>
      <c r="R32" s="14"/>
    </row>
    <row r="33" spans="11:18" x14ac:dyDescent="0.3">
      <c r="K33" s="13"/>
      <c r="L33" s="13"/>
      <c r="M33" s="13"/>
      <c r="R33" s="14"/>
    </row>
    <row r="34" spans="11:18" x14ac:dyDescent="0.3">
      <c r="K34" s="13"/>
      <c r="L34" s="13"/>
      <c r="M34" s="13"/>
      <c r="R34" s="14"/>
    </row>
    <row r="35" spans="11:18" x14ac:dyDescent="0.3">
      <c r="K35" s="13"/>
      <c r="L35" s="13"/>
      <c r="M35" s="13"/>
      <c r="R35" s="14"/>
    </row>
    <row r="36" spans="11:18" x14ac:dyDescent="0.3">
      <c r="K36" s="13"/>
      <c r="L36" s="13"/>
      <c r="M36" s="13"/>
      <c r="R36" s="14"/>
    </row>
  </sheetData>
  <sortState xmlns:xlrd2="http://schemas.microsoft.com/office/spreadsheetml/2017/richdata2" columnSort="1" ref="A21:BG37">
    <sortCondition ref="A21:BG21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F81F6-782E-4C00-A29C-A1E592DCA836}">
  <dimension ref="A1:BF17"/>
  <sheetViews>
    <sheetView workbookViewId="0">
      <selection activeCell="E25" sqref="E25"/>
    </sheetView>
  </sheetViews>
  <sheetFormatPr defaultRowHeight="14.4" x14ac:dyDescent="0.3"/>
  <cols>
    <col min="1" max="1" width="21.6640625" bestFit="1" customWidth="1"/>
    <col min="2" max="5" width="12" bestFit="1" customWidth="1"/>
    <col min="6" max="6" width="4" bestFit="1" customWidth="1"/>
    <col min="7" max="38" width="12" bestFit="1" customWidth="1"/>
    <col min="39" max="39" width="4" bestFit="1" customWidth="1"/>
    <col min="40" max="44" width="12" bestFit="1" customWidth="1"/>
    <col min="45" max="45" width="7" bestFit="1" customWidth="1"/>
    <col min="46" max="52" width="12" bestFit="1" customWidth="1"/>
    <col min="53" max="53" width="6" bestFit="1" customWidth="1"/>
    <col min="54" max="58" width="12" bestFit="1" customWidth="1"/>
  </cols>
  <sheetData>
    <row r="1" spans="1:58" x14ac:dyDescent="0.3">
      <c r="A1" t="s">
        <v>122</v>
      </c>
      <c r="B1" t="s">
        <v>123</v>
      </c>
      <c r="C1" t="s">
        <v>124</v>
      </c>
      <c r="D1" t="s">
        <v>125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</row>
    <row r="2" spans="1:58" x14ac:dyDescent="0.3">
      <c r="A2" t="s">
        <v>48</v>
      </c>
      <c r="B2">
        <v>42.774537195602477</v>
      </c>
      <c r="C2">
        <v>29.530201342281881</v>
      </c>
      <c r="D2">
        <v>76.724137931034491</v>
      </c>
      <c r="E2">
        <v>46.9376885601636</v>
      </c>
      <c r="F2">
        <v>77.999999999999972</v>
      </c>
      <c r="G2">
        <v>35.523613963039026</v>
      </c>
      <c r="H2">
        <v>77.551020408163254</v>
      </c>
      <c r="I2">
        <v>77.215189873417728</v>
      </c>
      <c r="J2">
        <v>80.513246229311591</v>
      </c>
      <c r="K2">
        <v>79.434447300771211</v>
      </c>
      <c r="L2">
        <v>41.435036979799094</v>
      </c>
      <c r="M2">
        <v>26.666666666666572</v>
      </c>
      <c r="N2">
        <v>42.956859910005356</v>
      </c>
      <c r="O2">
        <v>63.115693012600225</v>
      </c>
      <c r="P2">
        <v>35.679856066810785</v>
      </c>
      <c r="Q2">
        <v>56.164383561643838</v>
      </c>
      <c r="R2">
        <v>54.023929521329691</v>
      </c>
      <c r="S2">
        <v>52.513966480446925</v>
      </c>
      <c r="T2">
        <v>35.570687418936444</v>
      </c>
      <c r="U2">
        <v>30.976461774339676</v>
      </c>
      <c r="V2">
        <v>37.113588212634824</v>
      </c>
      <c r="W2">
        <v>41.687919146122603</v>
      </c>
      <c r="X2">
        <v>34.782608695652165</v>
      </c>
      <c r="Y2">
        <v>42.395364793779059</v>
      </c>
      <c r="Z2">
        <v>30.184895323811389</v>
      </c>
      <c r="AA2">
        <v>46.95652173913043</v>
      </c>
      <c r="AB2">
        <v>38.571046254507735</v>
      </c>
      <c r="AC2">
        <v>60.97657800714569</v>
      </c>
      <c r="AD2">
        <v>39.549323985978965</v>
      </c>
      <c r="AE2">
        <v>49.135401302851548</v>
      </c>
      <c r="AF2">
        <v>100</v>
      </c>
      <c r="AG2">
        <v>36.093914928822073</v>
      </c>
      <c r="AH2">
        <v>37.832138338253898</v>
      </c>
      <c r="AI2">
        <v>38.088554293734859</v>
      </c>
      <c r="AJ2">
        <v>36.84210526315789</v>
      </c>
      <c r="AK2">
        <v>33.528247571068732</v>
      </c>
      <c r="AL2">
        <v>51.612903225806448</v>
      </c>
      <c r="AM2">
        <v>40</v>
      </c>
      <c r="AN2">
        <v>46.75925925925926</v>
      </c>
      <c r="AO2">
        <v>52.205882352941181</v>
      </c>
      <c r="AP2">
        <v>74.137931034482747</v>
      </c>
      <c r="AQ2">
        <v>40.573770491803288</v>
      </c>
      <c r="AR2">
        <v>24.590163934426222</v>
      </c>
      <c r="AS2">
        <v>27.500000000000007</v>
      </c>
      <c r="AT2">
        <v>29.31034482758621</v>
      </c>
      <c r="AU2">
        <v>3.3333333333333215</v>
      </c>
      <c r="AV2">
        <v>24.883774988377503</v>
      </c>
      <c r="AW2">
        <v>33.10468269364744</v>
      </c>
      <c r="AX2">
        <v>98.389982110912328</v>
      </c>
      <c r="AY2">
        <v>51.053199474628862</v>
      </c>
      <c r="AZ2">
        <v>8.2165104992579714</v>
      </c>
      <c r="BA2">
        <v>5.0000000000000044</v>
      </c>
      <c r="BB2">
        <v>59.614948374397216</v>
      </c>
      <c r="BC2">
        <v>68.867924528301899</v>
      </c>
      <c r="BD2">
        <v>66.666666666666757</v>
      </c>
      <c r="BE2">
        <v>42.741935483870982</v>
      </c>
      <c r="BF2">
        <v>35.211267605633836</v>
      </c>
    </row>
    <row r="3" spans="1:58" x14ac:dyDescent="0.3">
      <c r="A3" t="s">
        <v>49</v>
      </c>
      <c r="B3">
        <v>23.530588089285409</v>
      </c>
      <c r="C3">
        <v>18.456375838926174</v>
      </c>
      <c r="D3">
        <v>49.425287356321853</v>
      </c>
      <c r="E3">
        <v>40.708049793099377</v>
      </c>
      <c r="F3">
        <v>40</v>
      </c>
      <c r="G3">
        <v>35.93429158110883</v>
      </c>
      <c r="H3">
        <v>30.612244897959179</v>
      </c>
      <c r="I3">
        <v>0</v>
      </c>
      <c r="J3">
        <v>65.244972251971475</v>
      </c>
      <c r="K3">
        <v>40.874035989717221</v>
      </c>
      <c r="L3">
        <v>16.311587003716376</v>
      </c>
      <c r="M3">
        <v>29.999999999999954</v>
      </c>
      <c r="N3">
        <v>12.84978872449425</v>
      </c>
      <c r="O3">
        <v>13.860252004581902</v>
      </c>
      <c r="P3">
        <v>15.954832905919798</v>
      </c>
      <c r="Q3">
        <v>19.17808219178082</v>
      </c>
      <c r="R3">
        <v>7.8310077395548028</v>
      </c>
      <c r="S3">
        <v>23.463687150837988</v>
      </c>
      <c r="T3">
        <v>60.873324686554263</v>
      </c>
      <c r="U3">
        <v>37.682068436824864</v>
      </c>
      <c r="V3">
        <v>35.8568470724191</v>
      </c>
      <c r="W3">
        <v>40.148295078870312</v>
      </c>
      <c r="X3">
        <v>8.6956521739130466</v>
      </c>
      <c r="Y3">
        <v>45.193260654112976</v>
      </c>
      <c r="Z3">
        <v>35.759473032022434</v>
      </c>
      <c r="AA3">
        <v>25.217391304347831</v>
      </c>
      <c r="AB3">
        <v>19.002332589442542</v>
      </c>
      <c r="AC3">
        <v>17.506947201270346</v>
      </c>
      <c r="AD3">
        <v>16.514772158237356</v>
      </c>
      <c r="AE3">
        <v>25.035336774827911</v>
      </c>
      <c r="AF3">
        <v>31.346391116594674</v>
      </c>
      <c r="AG3">
        <v>31.672990424024555</v>
      </c>
      <c r="AH3">
        <v>58.161113454238723</v>
      </c>
      <c r="AI3">
        <v>29.784994258006908</v>
      </c>
      <c r="AJ3">
        <v>31.578947368421044</v>
      </c>
      <c r="AK3">
        <v>60.408420295070165</v>
      </c>
      <c r="AL3">
        <v>16.129032258064516</v>
      </c>
      <c r="AM3">
        <v>40</v>
      </c>
      <c r="AN3">
        <v>21.626984126984127</v>
      </c>
      <c r="AO3">
        <v>23.897058823529409</v>
      </c>
      <c r="AP3">
        <v>0</v>
      </c>
      <c r="AQ3">
        <v>38.114754098360663</v>
      </c>
      <c r="AR3">
        <v>49.180327868852444</v>
      </c>
      <c r="AS3">
        <v>100</v>
      </c>
      <c r="AT3">
        <v>75.862068965517267</v>
      </c>
      <c r="AU3">
        <v>79.999999999999986</v>
      </c>
      <c r="AV3">
        <v>9.3793584379358439</v>
      </c>
      <c r="AW3">
        <v>16.579672243598676</v>
      </c>
      <c r="AX3">
        <v>53.667262969588549</v>
      </c>
      <c r="AY3">
        <v>13.968403012339458</v>
      </c>
      <c r="AZ3">
        <v>17.363980956056338</v>
      </c>
      <c r="BA3">
        <v>30.000000000000004</v>
      </c>
      <c r="BB3">
        <v>20.304850830912429</v>
      </c>
      <c r="BC3">
        <v>61.320754716981163</v>
      </c>
      <c r="BD3">
        <v>58.3333333333333</v>
      </c>
      <c r="BE3">
        <v>2.4193548387096837</v>
      </c>
      <c r="BF3">
        <v>45.070422535211144</v>
      </c>
    </row>
    <row r="4" spans="1:58" x14ac:dyDescent="0.3">
      <c r="A4" t="s">
        <v>50</v>
      </c>
      <c r="B4">
        <v>24.080497903111148</v>
      </c>
      <c r="C4">
        <v>8.0536912751677843</v>
      </c>
      <c r="D4">
        <v>14.367816091954024</v>
      </c>
      <c r="E4">
        <v>54.584279866179756</v>
      </c>
      <c r="F4">
        <v>21.999999999999993</v>
      </c>
      <c r="G4">
        <v>36.550308008213555</v>
      </c>
      <c r="H4">
        <v>0</v>
      </c>
      <c r="I4">
        <v>37.974683544303801</v>
      </c>
      <c r="J4">
        <v>19.586267958675542</v>
      </c>
      <c r="K4">
        <v>53.984575835475582</v>
      </c>
      <c r="L4">
        <v>20.178827685174962</v>
      </c>
      <c r="M4">
        <v>34.999999999999901</v>
      </c>
      <c r="N4">
        <v>0</v>
      </c>
      <c r="O4">
        <v>5.2691867124856815</v>
      </c>
      <c r="P4">
        <v>1.1103801071443009</v>
      </c>
      <c r="Q4">
        <v>6.8493150684931505</v>
      </c>
      <c r="R4">
        <v>10.237937396666187</v>
      </c>
      <c r="S4">
        <v>24.581005586592177</v>
      </c>
      <c r="T4">
        <v>13.31603977518375</v>
      </c>
      <c r="U4">
        <v>58.06959544219108</v>
      </c>
      <c r="V4">
        <v>47.832603043143294</v>
      </c>
      <c r="W4">
        <v>44.904127703787665</v>
      </c>
      <c r="X4">
        <v>21.739130434782602</v>
      </c>
      <c r="Y4">
        <v>28.748951742014171</v>
      </c>
      <c r="Z4">
        <v>23.845627078849539</v>
      </c>
      <c r="AA4">
        <v>5.2173913043478306</v>
      </c>
      <c r="AB4">
        <v>21.099874683995449</v>
      </c>
      <c r="AC4">
        <v>19.76974990075427</v>
      </c>
      <c r="AD4">
        <v>4.0060090135202807E-2</v>
      </c>
      <c r="AE4">
        <v>8.4251321288102456</v>
      </c>
      <c r="AF4">
        <v>37.291795188155469</v>
      </c>
      <c r="AG4">
        <v>40.464439562947547</v>
      </c>
      <c r="AH4">
        <v>57.528469000421765</v>
      </c>
      <c r="AI4">
        <v>57.406107779337354</v>
      </c>
      <c r="AJ4">
        <v>78.947368421052616</v>
      </c>
      <c r="AK4">
        <v>54.052716804605957</v>
      </c>
      <c r="AL4">
        <v>0</v>
      </c>
      <c r="AM4">
        <v>0</v>
      </c>
      <c r="AN4">
        <v>41.732804232804234</v>
      </c>
      <c r="AO4">
        <v>51.102941176470573</v>
      </c>
      <c r="AP4">
        <v>72.41379310344827</v>
      </c>
      <c r="AQ4">
        <v>92.622950819672141</v>
      </c>
      <c r="AR4">
        <v>98.360655737704889</v>
      </c>
      <c r="AS4">
        <v>54.999999999999993</v>
      </c>
      <c r="AT4">
        <v>77.58620689655173</v>
      </c>
      <c r="AU4">
        <v>43.333333333333329</v>
      </c>
      <c r="AV4">
        <v>5.8809855880985573</v>
      </c>
      <c r="AW4">
        <v>3.8788437422964379</v>
      </c>
      <c r="AX4">
        <v>53.667262969588549</v>
      </c>
      <c r="AY4">
        <v>22.155812387257519</v>
      </c>
      <c r="AZ4">
        <v>40.972032666225729</v>
      </c>
      <c r="BA4">
        <v>31.25</v>
      </c>
      <c r="BB4">
        <v>6.6582758292659721</v>
      </c>
      <c r="BC4">
        <v>37.73584905660379</v>
      </c>
      <c r="BD4">
        <v>29.166666666666803</v>
      </c>
      <c r="BE4">
        <v>27.419354838709669</v>
      </c>
      <c r="BF4">
        <v>66.197183098591438</v>
      </c>
    </row>
    <row r="5" spans="1:58" x14ac:dyDescent="0.3">
      <c r="A5" t="s">
        <v>51</v>
      </c>
      <c r="B5">
        <v>0.81305697582273773</v>
      </c>
      <c r="C5">
        <v>4.6979865771812079</v>
      </c>
      <c r="D5">
        <v>66.954022988505741</v>
      </c>
      <c r="E5">
        <v>50.852000453919779</v>
      </c>
      <c r="F5">
        <v>41.999999999999993</v>
      </c>
      <c r="G5">
        <v>35.728952772073924</v>
      </c>
      <c r="H5">
        <v>32.653061224489797</v>
      </c>
      <c r="I5">
        <v>65.822784810126578</v>
      </c>
      <c r="J5">
        <v>0</v>
      </c>
      <c r="K5">
        <v>0</v>
      </c>
      <c r="L5">
        <v>0</v>
      </c>
      <c r="M5">
        <v>34.999999999999901</v>
      </c>
      <c r="N5">
        <v>12.344971144377828</v>
      </c>
      <c r="O5">
        <v>39.862542955326461</v>
      </c>
      <c r="P5">
        <v>18.774419635064923</v>
      </c>
      <c r="Q5">
        <v>42.465753424657535</v>
      </c>
      <c r="R5">
        <v>14.876079264542618</v>
      </c>
      <c r="S5">
        <v>23.463687150837988</v>
      </c>
      <c r="T5">
        <v>27.983138780804147</v>
      </c>
      <c r="U5">
        <v>9.7711512997421419</v>
      </c>
      <c r="V5">
        <v>0.82247929506933515</v>
      </c>
      <c r="W5">
        <v>0</v>
      </c>
      <c r="X5">
        <v>43.478260869565204</v>
      </c>
      <c r="Y5">
        <v>17.420141800716625</v>
      </c>
      <c r="Z5">
        <v>10.315985130111525</v>
      </c>
      <c r="AA5">
        <v>23.478260869565219</v>
      </c>
      <c r="AB5">
        <v>2.0674905246537842</v>
      </c>
      <c r="AC5">
        <v>4.5653036919412466</v>
      </c>
      <c r="AD5">
        <v>23.144717075613418</v>
      </c>
      <c r="AE5">
        <v>26.253303220255674</v>
      </c>
      <c r="AF5">
        <v>46.637877853177017</v>
      </c>
      <c r="AG5">
        <v>32.553561749350983</v>
      </c>
      <c r="AH5">
        <v>0</v>
      </c>
      <c r="AI5">
        <v>50.401939517672588</v>
      </c>
      <c r="AJ5">
        <v>57.894736842105253</v>
      </c>
      <c r="AK5">
        <v>82.543181000359823</v>
      </c>
      <c r="AL5">
        <v>48.387096774193559</v>
      </c>
      <c r="AM5">
        <v>20</v>
      </c>
      <c r="AN5">
        <v>100</v>
      </c>
      <c r="AO5">
        <v>0</v>
      </c>
      <c r="AP5">
        <v>25.862068965517249</v>
      </c>
      <c r="AQ5">
        <v>4.9180327868852558</v>
      </c>
      <c r="AR5">
        <v>0</v>
      </c>
      <c r="AS5">
        <v>0</v>
      </c>
      <c r="AT5">
        <v>27.58620689655173</v>
      </c>
      <c r="AU5">
        <v>39.999999999999993</v>
      </c>
      <c r="AV5">
        <v>11.599256159925618</v>
      </c>
      <c r="AW5">
        <v>7.3043161380906954</v>
      </c>
      <c r="AX5">
        <v>64.400715563506253</v>
      </c>
      <c r="AY5">
        <v>37.412062543222582</v>
      </c>
      <c r="AZ5">
        <v>55.717519369666682</v>
      </c>
      <c r="BA5">
        <v>58.75</v>
      </c>
      <c r="BB5">
        <v>8.9391688680418859</v>
      </c>
      <c r="BC5">
        <v>36.792452830188687</v>
      </c>
      <c r="BD5">
        <v>45.833333333333421</v>
      </c>
      <c r="BE5">
        <v>0</v>
      </c>
      <c r="BF5">
        <v>47.88732394366189</v>
      </c>
    </row>
    <row r="6" spans="1:58" x14ac:dyDescent="0.3">
      <c r="A6" t="s">
        <v>52</v>
      </c>
      <c r="B6">
        <v>31.92921668056114</v>
      </c>
      <c r="C6">
        <v>25.167785234899331</v>
      </c>
      <c r="D6">
        <v>59.77011494252875</v>
      </c>
      <c r="E6">
        <v>8.3832288863401558</v>
      </c>
      <c r="F6">
        <v>10</v>
      </c>
      <c r="G6">
        <v>4.928131416837787</v>
      </c>
      <c r="H6">
        <v>36.734693877551017</v>
      </c>
      <c r="I6">
        <v>73.417721518987349</v>
      </c>
      <c r="J6">
        <v>29.762265633306534</v>
      </c>
      <c r="K6">
        <v>42.673521850899746</v>
      </c>
      <c r="L6">
        <v>20.787430547889759</v>
      </c>
      <c r="M6">
        <v>40.000000000000099</v>
      </c>
      <c r="N6">
        <v>29.437720468171563</v>
      </c>
      <c r="O6">
        <v>22.680412371134022</v>
      </c>
      <c r="P6">
        <v>20.831375286993655</v>
      </c>
      <c r="Q6">
        <v>19.17808219178082</v>
      </c>
      <c r="R6">
        <v>23.227849617814563</v>
      </c>
      <c r="S6">
        <v>53.631284916201118</v>
      </c>
      <c r="T6">
        <v>32.587548638132297</v>
      </c>
      <c r="U6">
        <v>32.827418286988639</v>
      </c>
      <c r="V6">
        <v>38.697756163328187</v>
      </c>
      <c r="W6">
        <v>44.531028620005671</v>
      </c>
      <c r="X6">
        <v>26.086956521739125</v>
      </c>
      <c r="Y6">
        <v>48.738278569794915</v>
      </c>
      <c r="Z6">
        <v>32.094175960346966</v>
      </c>
      <c r="AA6">
        <v>19.130434782608695</v>
      </c>
      <c r="AB6">
        <v>28.118081911445913</v>
      </c>
      <c r="AC6">
        <v>74.910678840809837</v>
      </c>
      <c r="AD6">
        <v>15.863795693540311</v>
      </c>
      <c r="AE6">
        <v>30.986894665683401</v>
      </c>
      <c r="AF6">
        <v>38.271128932757556</v>
      </c>
      <c r="AG6">
        <v>16.438916307686448</v>
      </c>
      <c r="AH6">
        <v>50.274145929987348</v>
      </c>
      <c r="AI6">
        <v>50.494449406660735</v>
      </c>
      <c r="AJ6">
        <v>31.578947368421044</v>
      </c>
      <c r="AK6">
        <v>55.087261604893833</v>
      </c>
      <c r="AL6">
        <v>64.516129032258078</v>
      </c>
      <c r="AM6">
        <v>20</v>
      </c>
      <c r="AN6">
        <v>4.5634920634920633</v>
      </c>
      <c r="AO6">
        <v>66.544117647058826</v>
      </c>
      <c r="AP6">
        <v>89.65517241379311</v>
      </c>
      <c r="AQ6">
        <v>39.754098360655739</v>
      </c>
      <c r="AR6">
        <v>98.360655737704889</v>
      </c>
      <c r="AS6">
        <v>81.875</v>
      </c>
      <c r="AT6">
        <v>43.103448275862085</v>
      </c>
      <c r="AU6">
        <v>30</v>
      </c>
      <c r="AV6">
        <v>1.7317526731752659</v>
      </c>
      <c r="AW6">
        <v>2.8209772671246824</v>
      </c>
      <c r="AX6">
        <v>96.60107334525938</v>
      </c>
      <c r="AY6">
        <v>53.622457366784246</v>
      </c>
      <c r="AZ6">
        <v>39.750386207555586</v>
      </c>
      <c r="BA6">
        <v>43.75</v>
      </c>
      <c r="BB6">
        <v>42.238597364203812</v>
      </c>
      <c r="BC6">
        <v>32.075471698113212</v>
      </c>
      <c r="BD6">
        <v>0</v>
      </c>
      <c r="BE6">
        <v>24.193548387096779</v>
      </c>
      <c r="BF6">
        <v>100</v>
      </c>
    </row>
    <row r="7" spans="1:58" x14ac:dyDescent="0.3">
      <c r="A7" t="s">
        <v>53</v>
      </c>
      <c r="B7">
        <v>54.338913196300631</v>
      </c>
      <c r="C7">
        <v>56.711409395973156</v>
      </c>
      <c r="D7">
        <v>19.252873563218401</v>
      </c>
      <c r="E7">
        <v>46.393944918737411</v>
      </c>
      <c r="F7">
        <v>37.999999999999972</v>
      </c>
      <c r="G7">
        <v>100</v>
      </c>
      <c r="H7">
        <v>83.673469387755091</v>
      </c>
      <c r="I7">
        <v>64.556962025316452</v>
      </c>
      <c r="J7">
        <v>39.812425791363275</v>
      </c>
      <c r="K7">
        <v>84.832904884318765</v>
      </c>
      <c r="L7">
        <v>53.111086580564447</v>
      </c>
      <c r="M7">
        <v>100</v>
      </c>
      <c r="N7">
        <v>22.987273611128423</v>
      </c>
      <c r="O7">
        <v>47.880870561282933</v>
      </c>
      <c r="P7">
        <v>28.021321446313735</v>
      </c>
      <c r="Q7">
        <v>52.054794520547944</v>
      </c>
      <c r="R7">
        <v>52.077060087379493</v>
      </c>
      <c r="S7">
        <v>21.787709497206702</v>
      </c>
      <c r="T7">
        <v>53.469520103761347</v>
      </c>
      <c r="U7">
        <v>46.670064115966269</v>
      </c>
      <c r="V7">
        <v>53.629983628659474</v>
      </c>
      <c r="W7">
        <v>65.287616888637018</v>
      </c>
      <c r="X7">
        <v>34.782608695652165</v>
      </c>
      <c r="Y7">
        <v>72.806281924220471</v>
      </c>
      <c r="Z7">
        <v>0</v>
      </c>
      <c r="AA7">
        <v>28.695652173913043</v>
      </c>
      <c r="AB7">
        <v>43.764953929442363</v>
      </c>
      <c r="AC7">
        <v>84.438269154426365</v>
      </c>
      <c r="AD7">
        <v>12.448673009514271</v>
      </c>
      <c r="AE7">
        <v>18.570627458210424</v>
      </c>
      <c r="AF7">
        <v>59.184145589142503</v>
      </c>
      <c r="AG7">
        <v>52.792438117517278</v>
      </c>
      <c r="AH7">
        <v>100</v>
      </c>
      <c r="AI7">
        <v>15.498064735655653</v>
      </c>
      <c r="AJ7">
        <v>42.105263157894733</v>
      </c>
      <c r="AK7">
        <v>56.202770780856412</v>
      </c>
      <c r="AL7">
        <v>54.838709677419338</v>
      </c>
      <c r="AM7">
        <v>100</v>
      </c>
      <c r="AN7">
        <v>74.272486772486772</v>
      </c>
      <c r="AO7">
        <v>44.485294117647065</v>
      </c>
      <c r="AP7">
        <v>58.620689655172434</v>
      </c>
      <c r="AQ7">
        <v>46.311475409836071</v>
      </c>
      <c r="AR7">
        <v>67.21311475409837</v>
      </c>
      <c r="AS7">
        <v>48.125000000000007</v>
      </c>
      <c r="AT7">
        <v>20.689655172413794</v>
      </c>
      <c r="AU7">
        <v>16.666666666666664</v>
      </c>
      <c r="AV7">
        <v>25.244072524407251</v>
      </c>
      <c r="AW7">
        <v>39.591215528236567</v>
      </c>
      <c r="AX7">
        <v>40.250447227191408</v>
      </c>
      <c r="AY7">
        <v>75.274434056493462</v>
      </c>
      <c r="AZ7">
        <v>46.320201213430174</v>
      </c>
      <c r="BA7">
        <v>67.5</v>
      </c>
      <c r="BB7">
        <v>14.272960770395954</v>
      </c>
      <c r="BC7">
        <v>62.264150943396203</v>
      </c>
      <c r="BD7">
        <v>95.83333333333357</v>
      </c>
      <c r="BE7">
        <v>45.161290322580662</v>
      </c>
      <c r="BF7">
        <v>0</v>
      </c>
    </row>
    <row r="8" spans="1:58" x14ac:dyDescent="0.3">
      <c r="A8" t="s">
        <v>54</v>
      </c>
      <c r="B8">
        <v>100</v>
      </c>
      <c r="C8">
        <v>32.885906040268459</v>
      </c>
      <c r="D8">
        <v>67.241379310344854</v>
      </c>
      <c r="E8">
        <v>0</v>
      </c>
      <c r="F8">
        <v>87.999999999999972</v>
      </c>
      <c r="G8">
        <v>80.287474332648884</v>
      </c>
      <c r="H8">
        <v>100</v>
      </c>
      <c r="I8">
        <v>100</v>
      </c>
      <c r="J8">
        <v>100</v>
      </c>
      <c r="K8">
        <v>100</v>
      </c>
      <c r="L8">
        <v>100</v>
      </c>
      <c r="M8">
        <v>75</v>
      </c>
      <c r="N8">
        <v>100</v>
      </c>
      <c r="O8">
        <v>100</v>
      </c>
      <c r="P8">
        <v>100</v>
      </c>
      <c r="Q8">
        <v>100</v>
      </c>
      <c r="R8">
        <v>100</v>
      </c>
      <c r="S8">
        <v>45.251396648044697</v>
      </c>
      <c r="T8">
        <v>54.582792909641157</v>
      </c>
      <c r="U8">
        <v>100</v>
      </c>
      <c r="V8">
        <v>100</v>
      </c>
      <c r="W8">
        <v>100</v>
      </c>
      <c r="X8">
        <v>8.6956521739130466</v>
      </c>
      <c r="Y8">
        <v>100</v>
      </c>
      <c r="Z8">
        <v>100</v>
      </c>
      <c r="AA8">
        <v>10.434782608695654</v>
      </c>
      <c r="AB8">
        <v>100</v>
      </c>
      <c r="AC8">
        <v>100</v>
      </c>
      <c r="AD8">
        <v>100</v>
      </c>
      <c r="AE8">
        <v>100</v>
      </c>
      <c r="AF8">
        <v>95.465761875385567</v>
      </c>
      <c r="AG8">
        <v>100</v>
      </c>
      <c r="AH8">
        <v>40.868831716575279</v>
      </c>
      <c r="AI8">
        <v>46.186891242397202</v>
      </c>
      <c r="AJ8">
        <v>21.052631578947363</v>
      </c>
      <c r="AK8">
        <v>49.640158330334643</v>
      </c>
      <c r="AL8">
        <v>90.322580645161295</v>
      </c>
      <c r="AM8">
        <v>100</v>
      </c>
      <c r="AN8">
        <v>47.751322751322753</v>
      </c>
      <c r="AO8">
        <v>100</v>
      </c>
      <c r="AP8">
        <v>100</v>
      </c>
      <c r="AQ8">
        <v>72.950819672131146</v>
      </c>
      <c r="AR8">
        <v>91.803278688524586</v>
      </c>
      <c r="AS8">
        <v>87.499999999999986</v>
      </c>
      <c r="AT8">
        <v>18.965517241379317</v>
      </c>
      <c r="AU8">
        <v>9.9999999999999929</v>
      </c>
      <c r="AV8">
        <v>5.3812180381218031</v>
      </c>
      <c r="AW8">
        <v>12.809080288528527</v>
      </c>
      <c r="AX8">
        <v>100</v>
      </c>
      <c r="AY8">
        <v>76.758547349277109</v>
      </c>
      <c r="AZ8">
        <v>0</v>
      </c>
      <c r="BA8">
        <v>3.7499999999999978</v>
      </c>
      <c r="BB8">
        <v>80.296655129265233</v>
      </c>
      <c r="BC8">
        <v>100</v>
      </c>
      <c r="BD8">
        <v>50.000000000000142</v>
      </c>
      <c r="BE8">
        <v>100</v>
      </c>
      <c r="BF8">
        <v>26.760563380281592</v>
      </c>
    </row>
    <row r="9" spans="1:58" x14ac:dyDescent="0.3">
      <c r="A9" t="s">
        <v>55</v>
      </c>
      <c r="B9">
        <v>0</v>
      </c>
      <c r="C9">
        <v>14.76510067114094</v>
      </c>
      <c r="D9">
        <v>34.195402298850588</v>
      </c>
      <c r="E9">
        <v>84.844915059064192</v>
      </c>
      <c r="F9">
        <v>21.999999999999993</v>
      </c>
      <c r="G9">
        <v>19.712525667351127</v>
      </c>
      <c r="H9">
        <v>24.489795918367342</v>
      </c>
      <c r="I9">
        <v>97.468354430379748</v>
      </c>
      <c r="J9">
        <v>73.25294360339484</v>
      </c>
      <c r="K9">
        <v>27.249357326478147</v>
      </c>
      <c r="L9">
        <v>3.4238510505206605</v>
      </c>
      <c r="M9">
        <v>0</v>
      </c>
      <c r="N9">
        <v>12.999364303788003</v>
      </c>
      <c r="O9">
        <v>22.222222222222221</v>
      </c>
      <c r="P9">
        <v>18.479034358678291</v>
      </c>
      <c r="Q9">
        <v>0</v>
      </c>
      <c r="R9">
        <v>17.717909601361047</v>
      </c>
      <c r="S9">
        <v>4.4692737430167595</v>
      </c>
      <c r="T9">
        <v>35.894941634241242</v>
      </c>
      <c r="U9">
        <v>0</v>
      </c>
      <c r="V9">
        <v>0</v>
      </c>
      <c r="W9">
        <v>4.6047038821195807</v>
      </c>
      <c r="X9">
        <v>0</v>
      </c>
      <c r="Y9">
        <v>5.6415338873217946</v>
      </c>
      <c r="Z9">
        <v>8.1474597273853782</v>
      </c>
      <c r="AA9">
        <v>39.130434782608702</v>
      </c>
      <c r="AB9">
        <v>0</v>
      </c>
      <c r="AC9">
        <v>5.8356490670901149</v>
      </c>
      <c r="AD9">
        <v>35.002503755633455</v>
      </c>
      <c r="AE9">
        <v>14.541851032448399</v>
      </c>
      <c r="AF9">
        <v>52.290252930289952</v>
      </c>
      <c r="AG9">
        <v>25.81899789842047</v>
      </c>
      <c r="AH9">
        <v>25.896246309574018</v>
      </c>
      <c r="AI9">
        <v>14.656969078303792</v>
      </c>
      <c r="AJ9">
        <v>100</v>
      </c>
      <c r="AK9">
        <v>83.082943504857852</v>
      </c>
      <c r="AL9">
        <v>67.741935483870975</v>
      </c>
      <c r="AM9">
        <v>20</v>
      </c>
      <c r="AN9">
        <v>0</v>
      </c>
      <c r="AO9">
        <v>2.573529411764703</v>
      </c>
      <c r="AP9">
        <v>13.793103448275861</v>
      </c>
      <c r="AQ9">
        <v>39.344262295081968</v>
      </c>
      <c r="AR9">
        <v>36.06557377049181</v>
      </c>
      <c r="AS9">
        <v>83.125</v>
      </c>
      <c r="AT9">
        <v>51.724137931034498</v>
      </c>
      <c r="AU9">
        <v>23.333333333333325</v>
      </c>
      <c r="AV9">
        <v>0</v>
      </c>
      <c r="AW9">
        <v>0</v>
      </c>
      <c r="AX9">
        <v>40.250447227191408</v>
      </c>
      <c r="AY9">
        <v>91.743286593325877</v>
      </c>
      <c r="AZ9">
        <v>48.868011831708692</v>
      </c>
      <c r="BA9">
        <v>78.75</v>
      </c>
      <c r="BB9">
        <v>6.5938810306094817</v>
      </c>
      <c r="BC9">
        <v>64.150943396226424</v>
      </c>
      <c r="BD9">
        <v>100</v>
      </c>
      <c r="BE9">
        <v>5.6451612903225756</v>
      </c>
      <c r="BF9">
        <v>22.535211267605572</v>
      </c>
    </row>
    <row r="10" spans="1:58" x14ac:dyDescent="0.3">
      <c r="A10" t="s">
        <v>56</v>
      </c>
      <c r="B10">
        <v>24.979947664390782</v>
      </c>
      <c r="C10">
        <v>20.134228187919462</v>
      </c>
      <c r="D10">
        <v>0</v>
      </c>
      <c r="E10">
        <v>100</v>
      </c>
      <c r="F10">
        <v>0</v>
      </c>
      <c r="G10">
        <v>73.30595482546201</v>
      </c>
      <c r="H10">
        <v>24.489795918367342</v>
      </c>
      <c r="I10">
        <v>46.835443037974684</v>
      </c>
      <c r="J10">
        <v>85.53287941845042</v>
      </c>
      <c r="K10">
        <v>24.164524421593832</v>
      </c>
      <c r="L10">
        <v>12.248224601685248</v>
      </c>
      <c r="M10">
        <v>51.666666666666572</v>
      </c>
      <c r="N10">
        <v>3.0575741333964874</v>
      </c>
      <c r="O10">
        <v>0</v>
      </c>
      <c r="P10">
        <v>18.940909518119209</v>
      </c>
      <c r="Q10">
        <v>2.7397260273972601</v>
      </c>
      <c r="R10">
        <v>0</v>
      </c>
      <c r="S10">
        <v>3.9106145251396649</v>
      </c>
      <c r="T10">
        <v>10.051880674448768</v>
      </c>
      <c r="U10">
        <v>22.144835877064605</v>
      </c>
      <c r="V10">
        <v>25.601586575500761</v>
      </c>
      <c r="W10">
        <v>33.985076036648721</v>
      </c>
      <c r="X10">
        <v>26.086956521739125</v>
      </c>
      <c r="Y10">
        <v>0</v>
      </c>
      <c r="Z10">
        <v>33.387138850844586</v>
      </c>
      <c r="AA10">
        <v>14.782608695652174</v>
      </c>
      <c r="AB10">
        <v>19.477792496624389</v>
      </c>
      <c r="AC10">
        <v>26.518459706232633</v>
      </c>
      <c r="AD10">
        <v>8.5628442663995994</v>
      </c>
      <c r="AE10">
        <v>12.085945181907572</v>
      </c>
      <c r="AF10">
        <v>28.678285009253546</v>
      </c>
      <c r="AG10">
        <v>33.618615620156127</v>
      </c>
      <c r="AH10">
        <v>44.07423028258119</v>
      </c>
      <c r="AI10">
        <v>64.425162689804793</v>
      </c>
      <c r="AJ10">
        <v>100</v>
      </c>
      <c r="AK10">
        <v>91.953040662108648</v>
      </c>
      <c r="AL10">
        <v>29.032258064516125</v>
      </c>
      <c r="AM10">
        <v>40</v>
      </c>
      <c r="AN10">
        <v>40.873015873015873</v>
      </c>
      <c r="AO10">
        <v>13.235294117647062</v>
      </c>
      <c r="AP10">
        <v>31.03448275862068</v>
      </c>
      <c r="AQ10">
        <v>78.688524590163937</v>
      </c>
      <c r="AR10">
        <v>100</v>
      </c>
      <c r="AS10">
        <v>69.999999999999986</v>
      </c>
      <c r="AT10">
        <v>100</v>
      </c>
      <c r="AU10">
        <v>60</v>
      </c>
      <c r="AV10">
        <v>9.6234309623430949</v>
      </c>
      <c r="AW10">
        <v>9.6429834621279511</v>
      </c>
      <c r="AX10">
        <v>0</v>
      </c>
      <c r="AY10">
        <v>1.7643355299672492</v>
      </c>
      <c r="AZ10">
        <v>26.672193551172324</v>
      </c>
      <c r="BA10">
        <v>36.250000000000007</v>
      </c>
      <c r="BB10">
        <v>2.3438243192811199</v>
      </c>
      <c r="BC10">
        <v>0</v>
      </c>
      <c r="BD10">
        <v>91.666666666666842</v>
      </c>
      <c r="BE10">
        <v>17.741935483870964</v>
      </c>
      <c r="BF10">
        <v>12.676056338028058</v>
      </c>
    </row>
    <row r="11" spans="1:58" x14ac:dyDescent="0.3">
      <c r="A11" t="s">
        <v>57</v>
      </c>
      <c r="B11">
        <v>4.3887096470043412</v>
      </c>
      <c r="C11">
        <v>0</v>
      </c>
      <c r="D11">
        <v>56.321839080459782</v>
      </c>
      <c r="E11">
        <v>89.060359457263758</v>
      </c>
      <c r="F11">
        <v>7.9999999999999707</v>
      </c>
      <c r="G11">
        <v>56.878850102669411</v>
      </c>
      <c r="H11">
        <v>26.530612244897956</v>
      </c>
      <c r="I11">
        <v>54.430379746835442</v>
      </c>
      <c r="J11">
        <v>26.428975502060336</v>
      </c>
      <c r="K11">
        <v>34.704370179948583</v>
      </c>
      <c r="L11">
        <v>6.3561099459101449</v>
      </c>
      <c r="M11">
        <v>23.333333333333428</v>
      </c>
      <c r="N11">
        <v>9.4045645480947808</v>
      </c>
      <c r="O11">
        <v>6.3001145475372278</v>
      </c>
      <c r="P11">
        <v>8.7313202379194177</v>
      </c>
      <c r="Q11">
        <v>6.8493150684931505</v>
      </c>
      <c r="R11">
        <v>13.39725721040568</v>
      </c>
      <c r="S11">
        <v>45.810055865921782</v>
      </c>
      <c r="T11">
        <v>6.2689148292261132</v>
      </c>
      <c r="U11">
        <v>36.931580597951076</v>
      </c>
      <c r="V11">
        <v>20.269164098613253</v>
      </c>
      <c r="W11">
        <v>16.874468688013604</v>
      </c>
      <c r="X11">
        <v>8.6956521739130466</v>
      </c>
      <c r="Y11">
        <v>25.989174353891897</v>
      </c>
      <c r="Z11">
        <v>35.066523185286634</v>
      </c>
      <c r="AA11">
        <v>0</v>
      </c>
      <c r="AB11">
        <v>1.3111873595624033</v>
      </c>
      <c r="AC11">
        <v>0</v>
      </c>
      <c r="AD11">
        <v>0</v>
      </c>
      <c r="AE11">
        <v>41.859482546706012</v>
      </c>
      <c r="AF11">
        <v>51.472856261566932</v>
      </c>
      <c r="AG11">
        <v>55.822136003575551</v>
      </c>
      <c r="AH11">
        <v>59.67946014339941</v>
      </c>
      <c r="AI11">
        <v>100</v>
      </c>
      <c r="AJ11">
        <v>36.84210526315789</v>
      </c>
      <c r="AK11">
        <v>100</v>
      </c>
      <c r="AL11">
        <v>25.806451612903235</v>
      </c>
      <c r="AM11">
        <v>40</v>
      </c>
      <c r="AN11">
        <v>39.616402116402114</v>
      </c>
      <c r="AO11">
        <v>60.294117647058812</v>
      </c>
      <c r="AP11">
        <v>81.034482758620697</v>
      </c>
      <c r="AQ11">
        <v>71.311475409836063</v>
      </c>
      <c r="AR11">
        <v>100</v>
      </c>
      <c r="AS11">
        <v>66.250000000000014</v>
      </c>
      <c r="AT11">
        <v>70.689655172413808</v>
      </c>
      <c r="AU11">
        <v>69.999999999999986</v>
      </c>
      <c r="AV11">
        <v>4.9628079962807998</v>
      </c>
      <c r="AW11">
        <v>3.2164714204563722</v>
      </c>
      <c r="AX11">
        <v>64.400715563506253</v>
      </c>
      <c r="AY11">
        <v>0</v>
      </c>
      <c r="AZ11">
        <v>48.510249307982285</v>
      </c>
      <c r="BA11">
        <v>22.499999999999996</v>
      </c>
      <c r="BB11">
        <v>1.7928097353227423</v>
      </c>
      <c r="BC11">
        <v>32.075471698113212</v>
      </c>
      <c r="BD11">
        <v>70.833333333333499</v>
      </c>
      <c r="BE11">
        <v>30.645161290322591</v>
      </c>
      <c r="BF11">
        <v>45.070422535211144</v>
      </c>
    </row>
    <row r="12" spans="1:58" x14ac:dyDescent="0.3">
      <c r="A12" t="s">
        <v>58</v>
      </c>
      <c r="B12">
        <v>30.767825747944443</v>
      </c>
      <c r="C12">
        <v>24.161073825503358</v>
      </c>
      <c r="D12">
        <v>62.643678160919556</v>
      </c>
      <c r="E12">
        <v>36.945434619549864</v>
      </c>
      <c r="F12">
        <v>100</v>
      </c>
      <c r="G12">
        <v>86.652977412731019</v>
      </c>
      <c r="H12">
        <v>95.918367346938751</v>
      </c>
      <c r="I12">
        <v>22.784810126582279</v>
      </c>
      <c r="J12">
        <v>91.541293588176245</v>
      </c>
      <c r="K12">
        <v>70.951156812339335</v>
      </c>
      <c r="L12">
        <v>30.43750229973875</v>
      </c>
      <c r="M12">
        <v>34.999999999999901</v>
      </c>
      <c r="N12">
        <v>30.050980343275956</v>
      </c>
      <c r="O12">
        <v>60.595647193585336</v>
      </c>
      <c r="P12">
        <v>36.122933981390744</v>
      </c>
      <c r="Q12">
        <v>68.493150684931507</v>
      </c>
      <c r="R12">
        <v>44.152602614995139</v>
      </c>
      <c r="S12">
        <v>100</v>
      </c>
      <c r="T12">
        <v>57.544314742758317</v>
      </c>
      <c r="U12">
        <v>23.027301554115269</v>
      </c>
      <c r="V12">
        <v>20.57371918335901</v>
      </c>
      <c r="W12">
        <v>33.106640219136679</v>
      </c>
      <c r="X12">
        <v>21.739130434782602</v>
      </c>
      <c r="Y12">
        <v>77.967523061675678</v>
      </c>
      <c r="Z12">
        <v>33.121372203743562</v>
      </c>
      <c r="AA12">
        <v>22.608695652173918</v>
      </c>
      <c r="AB12">
        <v>25.399069519085458</v>
      </c>
      <c r="AC12">
        <v>53.156014291385468</v>
      </c>
      <c r="AD12">
        <v>37.59639459188783</v>
      </c>
      <c r="AE12">
        <v>39.103214110127823</v>
      </c>
      <c r="AF12">
        <v>22.948797038864889</v>
      </c>
      <c r="AG12">
        <v>56.502058787169887</v>
      </c>
      <c r="AH12">
        <v>8.6883171657528422</v>
      </c>
      <c r="AI12">
        <v>12.83122793585982</v>
      </c>
      <c r="AJ12">
        <v>0</v>
      </c>
      <c r="AK12">
        <v>0</v>
      </c>
      <c r="AL12">
        <v>80.645161290322591</v>
      </c>
      <c r="AM12">
        <v>40</v>
      </c>
      <c r="AN12">
        <v>41.335978835978835</v>
      </c>
      <c r="AO12">
        <v>43.382352941176457</v>
      </c>
      <c r="AP12">
        <v>63.793103448275858</v>
      </c>
      <c r="AQ12">
        <v>0</v>
      </c>
      <c r="AR12">
        <v>21.311475409836074</v>
      </c>
      <c r="AS12">
        <v>21.875</v>
      </c>
      <c r="AT12">
        <v>29.31034482758621</v>
      </c>
      <c r="AU12">
        <v>36.66666666666665</v>
      </c>
      <c r="AV12">
        <v>47.198977219897728</v>
      </c>
      <c r="AW12">
        <v>40.704815596831764</v>
      </c>
      <c r="AX12">
        <v>64.400715563506253</v>
      </c>
      <c r="AY12">
        <v>57.921951575654852</v>
      </c>
      <c r="AZ12">
        <v>19.675128233296537</v>
      </c>
      <c r="BA12">
        <v>25</v>
      </c>
      <c r="BB12">
        <v>26.615541099248485</v>
      </c>
      <c r="BC12">
        <v>69.811320754717016</v>
      </c>
      <c r="BD12">
        <v>70.833333333333499</v>
      </c>
      <c r="BE12">
        <v>43.548387096774185</v>
      </c>
      <c r="BF12">
        <v>19.718309859154825</v>
      </c>
    </row>
    <row r="13" spans="1:58" x14ac:dyDescent="0.3">
      <c r="A13" t="s">
        <v>59</v>
      </c>
      <c r="B13">
        <v>75.622565269310869</v>
      </c>
      <c r="C13">
        <v>100</v>
      </c>
      <c r="D13">
        <v>100</v>
      </c>
      <c r="E13">
        <v>21.69985326500548</v>
      </c>
      <c r="F13">
        <v>15.999999999999979</v>
      </c>
      <c r="G13">
        <v>13.141683778234098</v>
      </c>
      <c r="H13">
        <v>34.6938775510204</v>
      </c>
      <c r="I13">
        <v>89.87341772151899</v>
      </c>
      <c r="J13">
        <v>77.438593276222889</v>
      </c>
      <c r="K13">
        <v>39.84575835475578</v>
      </c>
      <c r="L13">
        <v>40.017294035397576</v>
      </c>
      <c r="M13">
        <v>54.99999999999995</v>
      </c>
      <c r="N13">
        <v>38.711406384384311</v>
      </c>
      <c r="O13">
        <v>26.689576174112258</v>
      </c>
      <c r="P13">
        <v>28.021321446313735</v>
      </c>
      <c r="Q13">
        <v>15.068493150684931</v>
      </c>
      <c r="R13">
        <v>40.848315908019963</v>
      </c>
      <c r="S13">
        <v>98.324022346368707</v>
      </c>
      <c r="T13">
        <v>100</v>
      </c>
      <c r="U13">
        <v>30.773268171998041</v>
      </c>
      <c r="V13">
        <v>39.73209986517719</v>
      </c>
      <c r="W13">
        <v>53.017852082742991</v>
      </c>
      <c r="X13">
        <v>100</v>
      </c>
      <c r="Y13">
        <v>43.584661126782038</v>
      </c>
      <c r="Z13">
        <v>0.41903084849670641</v>
      </c>
      <c r="AA13">
        <v>100</v>
      </c>
      <c r="AB13">
        <v>61.938680745662168</v>
      </c>
      <c r="AC13">
        <v>57.125843588725687</v>
      </c>
      <c r="AD13">
        <v>39.188783174762143</v>
      </c>
      <c r="AE13">
        <v>28.712665929203517</v>
      </c>
      <c r="AF13">
        <v>0</v>
      </c>
      <c r="AG13">
        <v>60.315332021034827</v>
      </c>
      <c r="AH13">
        <v>64.361029101644874</v>
      </c>
      <c r="AI13">
        <v>0</v>
      </c>
      <c r="AJ13">
        <v>21.052631578947363</v>
      </c>
      <c r="AK13">
        <v>62.558474271320598</v>
      </c>
      <c r="AL13">
        <v>83.870967741935488</v>
      </c>
      <c r="AM13">
        <v>40</v>
      </c>
      <c r="AN13">
        <v>37.896825396825392</v>
      </c>
      <c r="AO13">
        <v>48.897058823529392</v>
      </c>
      <c r="AP13">
        <v>50.000000000000014</v>
      </c>
      <c r="AQ13">
        <v>61.885245901639344</v>
      </c>
      <c r="AR13">
        <v>57.377049180327852</v>
      </c>
      <c r="AS13">
        <v>66.875</v>
      </c>
      <c r="AT13">
        <v>12.068965517241384</v>
      </c>
      <c r="AU13">
        <v>0</v>
      </c>
      <c r="AV13">
        <v>3.2310553231055321</v>
      </c>
      <c r="AW13">
        <v>6.4650968371185735</v>
      </c>
      <c r="AX13">
        <v>82.289803220035779</v>
      </c>
      <c r="AY13">
        <v>24.016490477218738</v>
      </c>
      <c r="AZ13">
        <v>15.349393177437095</v>
      </c>
      <c r="BA13">
        <v>21.250000000000004</v>
      </c>
      <c r="BB13">
        <v>100</v>
      </c>
      <c r="BC13">
        <v>30.188679245282994</v>
      </c>
      <c r="BD13">
        <v>41.666666666666693</v>
      </c>
      <c r="BE13">
        <v>22.580645161290331</v>
      </c>
      <c r="BF13">
        <v>66.197183098591438</v>
      </c>
    </row>
    <row r="14" spans="1:58" x14ac:dyDescent="0.3">
      <c r="A14" t="s">
        <v>60</v>
      </c>
      <c r="B14">
        <v>5.3156559953304043</v>
      </c>
      <c r="C14">
        <v>14.76510067114094</v>
      </c>
      <c r="D14">
        <v>10.632183908045986</v>
      </c>
      <c r="E14">
        <v>54.708305137989832</v>
      </c>
      <c r="F14">
        <v>0</v>
      </c>
      <c r="G14">
        <v>0</v>
      </c>
      <c r="H14">
        <v>2.0408163265306136</v>
      </c>
      <c r="I14">
        <v>39.24050632911392</v>
      </c>
      <c r="J14">
        <v>57.039495519901976</v>
      </c>
      <c r="K14">
        <v>10.025706940874036</v>
      </c>
      <c r="L14">
        <v>2.5337601648452739</v>
      </c>
      <c r="M14">
        <v>79.999999999999943</v>
      </c>
      <c r="N14">
        <v>6.6224587732309574</v>
      </c>
      <c r="O14">
        <v>11.683848797250858</v>
      </c>
      <c r="P14">
        <v>7.7189543361215929</v>
      </c>
      <c r="Q14">
        <v>6.8493150684931505</v>
      </c>
      <c r="R14">
        <v>5.9700002396147287</v>
      </c>
      <c r="S14">
        <v>26.815642458100559</v>
      </c>
      <c r="T14">
        <v>6.7228707306528301</v>
      </c>
      <c r="U14">
        <v>14.796545055404554</v>
      </c>
      <c r="V14">
        <v>18.737661305855159</v>
      </c>
      <c r="W14">
        <v>48.347029375649377</v>
      </c>
      <c r="X14">
        <v>17.391304347826086</v>
      </c>
      <c r="Y14">
        <v>14.23343752382404</v>
      </c>
      <c r="Z14">
        <v>10.770886323615731</v>
      </c>
      <c r="AA14">
        <v>20.869565217391308</v>
      </c>
      <c r="AB14">
        <v>2.8086880653431625</v>
      </c>
      <c r="AC14">
        <v>12.624057165541883</v>
      </c>
      <c r="AD14">
        <v>2.0630946419629441</v>
      </c>
      <c r="AE14">
        <v>0</v>
      </c>
      <c r="AF14">
        <v>31.184454040715604</v>
      </c>
      <c r="AG14">
        <v>0</v>
      </c>
      <c r="AH14">
        <v>57.444116406579518</v>
      </c>
      <c r="AI14">
        <v>30.622899919186768</v>
      </c>
      <c r="AJ14">
        <v>47.368421052631582</v>
      </c>
      <c r="AK14">
        <v>70.578445483987025</v>
      </c>
      <c r="AL14">
        <v>9.6774193548387171</v>
      </c>
      <c r="AM14">
        <v>20</v>
      </c>
      <c r="AN14">
        <v>33.267195767195766</v>
      </c>
      <c r="AO14">
        <v>26.470588235294123</v>
      </c>
      <c r="AP14">
        <v>39.655172413793096</v>
      </c>
      <c r="AQ14">
        <v>100</v>
      </c>
      <c r="AR14">
        <v>86.885245901639337</v>
      </c>
      <c r="AS14">
        <v>60.624999999999986</v>
      </c>
      <c r="AT14">
        <v>81.034482758620697</v>
      </c>
      <c r="AU14">
        <v>69.999999999999986</v>
      </c>
      <c r="AV14">
        <v>9.4374709437470923</v>
      </c>
      <c r="AW14">
        <v>9.9752414229215116</v>
      </c>
      <c r="AX14">
        <v>40.250447227191408</v>
      </c>
      <c r="AY14">
        <v>33.925575966492495</v>
      </c>
      <c r="AZ14">
        <v>45.283299521900148</v>
      </c>
      <c r="BA14">
        <v>23.750000000000004</v>
      </c>
      <c r="BB14">
        <v>0</v>
      </c>
      <c r="BC14">
        <v>26.41509433962263</v>
      </c>
      <c r="BD14">
        <v>16.666666666666618</v>
      </c>
      <c r="BE14">
        <v>22.580645161290331</v>
      </c>
      <c r="BF14">
        <v>94.366197183098507</v>
      </c>
    </row>
    <row r="15" spans="1:58" x14ac:dyDescent="0.3">
      <c r="A15" t="s">
        <v>61</v>
      </c>
      <c r="B15">
        <v>9.3869708277437507</v>
      </c>
      <c r="C15">
        <v>0</v>
      </c>
      <c r="D15">
        <v>51.724137931034484</v>
      </c>
      <c r="E15">
        <v>73.543132740198132</v>
      </c>
      <c r="F15">
        <v>37.999999999999972</v>
      </c>
      <c r="G15">
        <v>40.65708418891171</v>
      </c>
      <c r="H15">
        <v>12.244897959183671</v>
      </c>
      <c r="I15">
        <v>0</v>
      </c>
      <c r="J15">
        <v>28.761335535668202</v>
      </c>
      <c r="K15">
        <v>11.825192802056556</v>
      </c>
      <c r="L15">
        <v>4.0306141222357139</v>
      </c>
      <c r="M15">
        <v>56.666666666666764</v>
      </c>
      <c r="N15">
        <v>1.9232926570855198</v>
      </c>
      <c r="O15">
        <v>8.5910652920962196</v>
      </c>
      <c r="P15">
        <v>0</v>
      </c>
      <c r="Q15">
        <v>9.5890410958904102</v>
      </c>
      <c r="R15">
        <v>0.58785472959482188</v>
      </c>
      <c r="S15">
        <v>0</v>
      </c>
      <c r="T15">
        <v>0</v>
      </c>
      <c r="U15">
        <v>25.90446198341348</v>
      </c>
      <c r="V15">
        <v>18.553483724961477</v>
      </c>
      <c r="W15">
        <v>19.561726645886466</v>
      </c>
      <c r="X15">
        <v>8.6956521739130466</v>
      </c>
      <c r="Y15">
        <v>19.249828466875044</v>
      </c>
      <c r="Z15">
        <v>19.218352572882019</v>
      </c>
      <c r="AA15">
        <v>6.9565217391304337</v>
      </c>
      <c r="AB15">
        <v>5.9325503531458663</v>
      </c>
      <c r="AC15">
        <v>16.315998412068282</v>
      </c>
      <c r="AD15">
        <v>1.6024036054081119</v>
      </c>
      <c r="AE15">
        <v>5.2252335299901338</v>
      </c>
      <c r="AF15">
        <v>47.015731030228231</v>
      </c>
      <c r="AG15">
        <v>9.960155573940396</v>
      </c>
      <c r="AH15">
        <v>10.670603121045971</v>
      </c>
      <c r="AI15">
        <v>31.48526221768536</v>
      </c>
      <c r="AJ15">
        <v>42.105263157894733</v>
      </c>
      <c r="AK15">
        <v>33.793630802446906</v>
      </c>
      <c r="AL15">
        <v>51.612903225806448</v>
      </c>
      <c r="AM15">
        <v>20</v>
      </c>
      <c r="AN15">
        <v>96.164021164021165</v>
      </c>
      <c r="AO15">
        <v>5.1470588235294059</v>
      </c>
      <c r="AP15">
        <v>12.068965517241368</v>
      </c>
      <c r="AQ15">
        <v>29.508196721311482</v>
      </c>
      <c r="AR15">
        <v>24.590163934426222</v>
      </c>
      <c r="AS15">
        <v>21.250000000000004</v>
      </c>
      <c r="AT15">
        <v>94.827586206896569</v>
      </c>
      <c r="AU15">
        <v>100</v>
      </c>
      <c r="AV15">
        <v>26.011157601115762</v>
      </c>
      <c r="AW15">
        <v>18.70290779305688</v>
      </c>
      <c r="AX15">
        <v>53.667262969588549</v>
      </c>
      <c r="AY15">
        <v>16.999824974864538</v>
      </c>
      <c r="AZ15">
        <v>25.525783008508746</v>
      </c>
      <c r="BA15">
        <v>53.75</v>
      </c>
      <c r="BB15">
        <v>9.8202067951147765</v>
      </c>
      <c r="BC15">
        <v>15.094339622641465</v>
      </c>
      <c r="BD15">
        <v>83.333333333333385</v>
      </c>
      <c r="BE15">
        <v>1.612903225806446</v>
      </c>
      <c r="BF15">
        <v>28.169014084507065</v>
      </c>
    </row>
    <row r="16" spans="1:58" x14ac:dyDescent="0.3">
      <c r="A16" t="s">
        <v>62</v>
      </c>
      <c r="B16">
        <v>55.923891902891</v>
      </c>
      <c r="C16">
        <v>20.134228187919462</v>
      </c>
      <c r="D16">
        <v>35.919540229885058</v>
      </c>
      <c r="E16">
        <v>8.5890695548216947</v>
      </c>
      <c r="F16">
        <v>92</v>
      </c>
      <c r="G16">
        <v>79.876796714579072</v>
      </c>
      <c r="H16">
        <v>61.224489795918359</v>
      </c>
      <c r="I16">
        <v>79.74683544303798</v>
      </c>
      <c r="J16">
        <v>49.867823914044237</v>
      </c>
      <c r="K16">
        <v>50.642673521850902</v>
      </c>
      <c r="L16">
        <v>36.991941715421127</v>
      </c>
      <c r="M16">
        <v>33.333333333333329</v>
      </c>
      <c r="N16">
        <v>40.597305146646391</v>
      </c>
      <c r="O16">
        <v>51.890034364261176</v>
      </c>
      <c r="P16">
        <v>35.477114354381776</v>
      </c>
      <c r="Q16">
        <v>46.575342465753423</v>
      </c>
      <c r="R16">
        <v>9.7654970806942707</v>
      </c>
      <c r="S16">
        <v>13.966480446927374</v>
      </c>
      <c r="T16">
        <v>67.952875054042366</v>
      </c>
      <c r="U16">
        <v>66.986157571956227</v>
      </c>
      <c r="V16">
        <v>68.196263482280429</v>
      </c>
      <c r="W16">
        <v>63.785775007084155</v>
      </c>
      <c r="X16">
        <v>43.478260869565204</v>
      </c>
      <c r="Y16">
        <v>51.787756346725608</v>
      </c>
      <c r="Z16">
        <v>42.793321593947695</v>
      </c>
      <c r="AA16">
        <v>22.608695652173918</v>
      </c>
      <c r="AB16">
        <v>54.515942980579212</v>
      </c>
      <c r="AC16">
        <v>84.239777689559347</v>
      </c>
      <c r="AD16">
        <v>31.967951927891836</v>
      </c>
      <c r="AE16">
        <v>13.994515117994123</v>
      </c>
      <c r="AF16">
        <v>26.765885256014787</v>
      </c>
      <c r="AG16">
        <v>54.898772335225722</v>
      </c>
      <c r="AH16">
        <v>51.876845212990311</v>
      </c>
      <c r="AI16">
        <v>29.555314533622568</v>
      </c>
      <c r="AJ16">
        <v>26.315789473684209</v>
      </c>
      <c r="AK16">
        <v>53.562432529686923</v>
      </c>
      <c r="AL16">
        <v>38.709677419354826</v>
      </c>
      <c r="AM16">
        <v>20</v>
      </c>
      <c r="AN16">
        <v>16.335978835978835</v>
      </c>
      <c r="AO16">
        <v>20.95588235294117</v>
      </c>
      <c r="AP16">
        <v>41.379310344827601</v>
      </c>
      <c r="AQ16">
        <v>9.0163934426229613</v>
      </c>
      <c r="AR16">
        <v>77.049180327868854</v>
      </c>
      <c r="AS16">
        <v>32.499999999999993</v>
      </c>
      <c r="AT16">
        <v>0</v>
      </c>
      <c r="AU16">
        <v>26.666666666666661</v>
      </c>
      <c r="AV16">
        <v>3.7192003719200368</v>
      </c>
      <c r="AW16">
        <v>2.9838908479008799</v>
      </c>
      <c r="AX16">
        <v>40.250447227191408</v>
      </c>
      <c r="AY16">
        <v>16.527927235289084</v>
      </c>
      <c r="AZ16">
        <v>18.771335547726807</v>
      </c>
      <c r="BA16">
        <v>0</v>
      </c>
      <c r="BB16">
        <v>26.4186979079008</v>
      </c>
      <c r="BC16">
        <v>67.924528301886795</v>
      </c>
      <c r="BD16">
        <v>70.833333333333499</v>
      </c>
      <c r="BE16">
        <v>25.000000000000018</v>
      </c>
      <c r="BF16">
        <v>22.535211267605572</v>
      </c>
    </row>
    <row r="17" spans="1:58" x14ac:dyDescent="0.3">
      <c r="A17" t="s">
        <v>63</v>
      </c>
      <c r="B17">
        <v>15.427536845207371</v>
      </c>
      <c r="C17">
        <v>5.0335570469798654</v>
      </c>
      <c r="D17">
        <v>77.873563218390842</v>
      </c>
      <c r="E17">
        <v>56.838892340748792</v>
      </c>
      <c r="F17">
        <v>40</v>
      </c>
      <c r="G17">
        <v>21.355236139630389</v>
      </c>
      <c r="H17">
        <v>46.938775510204074</v>
      </c>
      <c r="I17">
        <v>36.708860759493675</v>
      </c>
      <c r="J17">
        <v>20.486225968198791</v>
      </c>
      <c r="K17">
        <v>26.221079691516707</v>
      </c>
      <c r="L17">
        <v>9.1489126835191517</v>
      </c>
      <c r="M17">
        <v>28.333333333333382</v>
      </c>
      <c r="N17">
        <v>14.788038939509143</v>
      </c>
      <c r="O17">
        <v>61.168384879725089</v>
      </c>
      <c r="P17">
        <v>21.216718806643488</v>
      </c>
      <c r="Q17">
        <v>45.205479452054789</v>
      </c>
      <c r="R17">
        <v>20.474277362001917</v>
      </c>
      <c r="S17">
        <v>48.603351955307261</v>
      </c>
      <c r="T17">
        <v>20.94682230869001</v>
      </c>
      <c r="U17">
        <v>18.004303435779494</v>
      </c>
      <c r="V17">
        <v>16.74270512326656</v>
      </c>
      <c r="W17">
        <v>17.677340134126759</v>
      </c>
      <c r="X17">
        <v>21.739130434782602</v>
      </c>
      <c r="Y17">
        <v>72.135396813295699</v>
      </c>
      <c r="Z17">
        <v>33.8192134611622</v>
      </c>
      <c r="AA17">
        <v>13.913043478260875</v>
      </c>
      <c r="AB17">
        <v>11.474653848069993</v>
      </c>
      <c r="AC17">
        <v>15.879317189360858</v>
      </c>
      <c r="AD17">
        <v>16.314471707561342</v>
      </c>
      <c r="AE17">
        <v>30.905082350049142</v>
      </c>
      <c r="AF17">
        <v>68.576495990129544</v>
      </c>
      <c r="AG17">
        <v>12.713129641780508</v>
      </c>
      <c r="AH17">
        <v>4.2176296921130323</v>
      </c>
      <c r="AI17">
        <v>39.989792012249609</v>
      </c>
      <c r="AJ17">
        <v>42.105263157894733</v>
      </c>
      <c r="AK17">
        <v>69.494422454120169</v>
      </c>
      <c r="AL17">
        <v>100</v>
      </c>
      <c r="AM17">
        <v>20</v>
      </c>
      <c r="AN17">
        <v>52.711640211640209</v>
      </c>
      <c r="AO17">
        <v>33.088235294117645</v>
      </c>
      <c r="AP17">
        <v>74.137931034482747</v>
      </c>
      <c r="AQ17">
        <v>9.4262295081967356</v>
      </c>
      <c r="AR17">
        <v>31.147540983606557</v>
      </c>
      <c r="AS17">
        <v>8.7500000000000071</v>
      </c>
      <c r="AT17">
        <v>67.24137931034484</v>
      </c>
      <c r="AU17">
        <v>36.66666666666665</v>
      </c>
      <c r="AV17">
        <v>100</v>
      </c>
      <c r="AW17">
        <v>100</v>
      </c>
      <c r="AX17">
        <v>82.289803220035779</v>
      </c>
      <c r="AY17">
        <v>100</v>
      </c>
      <c r="AZ17">
        <v>100</v>
      </c>
      <c r="BA17">
        <v>100</v>
      </c>
      <c r="BB17">
        <v>23.445560783567618</v>
      </c>
      <c r="BC17">
        <v>50.943396226415103</v>
      </c>
      <c r="BD17">
        <v>54.16666666666687</v>
      </c>
      <c r="BE17">
        <v>20.967741935483886</v>
      </c>
      <c r="BF17">
        <v>53.521126760563384</v>
      </c>
    </row>
  </sheetData>
  <sortState xmlns:xlrd2="http://schemas.microsoft.com/office/spreadsheetml/2017/richdata2" columnSort="1" ref="A21:BF37">
    <sortCondition ref="A21:BF2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30555-6AF8-4056-98CD-061A7273A943}">
  <dimension ref="A1:BF3"/>
  <sheetViews>
    <sheetView workbookViewId="0">
      <selection activeCell="F10" sqref="F10"/>
    </sheetView>
  </sheetViews>
  <sheetFormatPr defaultRowHeight="14.4" x14ac:dyDescent="0.3"/>
  <cols>
    <col min="1" max="1" width="8.21875" bestFit="1" customWidth="1"/>
    <col min="2" max="2" width="8" bestFit="1" customWidth="1"/>
    <col min="3" max="3" width="4" bestFit="1" customWidth="1"/>
    <col min="4" max="4" width="5" bestFit="1" customWidth="1"/>
    <col min="5" max="5" width="11" bestFit="1" customWidth="1"/>
    <col min="6" max="6" width="5" bestFit="1" customWidth="1"/>
    <col min="7" max="7" width="5.6640625" bestFit="1" customWidth="1"/>
    <col min="8" max="8" width="4.6640625" bestFit="1" customWidth="1"/>
    <col min="9" max="9" width="4" bestFit="1" customWidth="1"/>
    <col min="10" max="10" width="12" bestFit="1" customWidth="1"/>
    <col min="11" max="11" width="4" bestFit="1" customWidth="1"/>
    <col min="12" max="12" width="7" bestFit="1" customWidth="1"/>
    <col min="13" max="13" width="3.77734375" bestFit="1" customWidth="1"/>
    <col min="14" max="14" width="7" bestFit="1" customWidth="1"/>
    <col min="15" max="15" width="5" bestFit="1" customWidth="1"/>
    <col min="16" max="16" width="8" bestFit="1" customWidth="1"/>
    <col min="17" max="17" width="4" bestFit="1" customWidth="1"/>
    <col min="18" max="18" width="9" bestFit="1" customWidth="1"/>
    <col min="19" max="19" width="5" bestFit="1" customWidth="1"/>
    <col min="20" max="20" width="7" bestFit="1" customWidth="1"/>
    <col min="21" max="22" width="8" bestFit="1" customWidth="1"/>
    <col min="23" max="23" width="6" bestFit="1" customWidth="1"/>
    <col min="24" max="24" width="4" bestFit="1" customWidth="1"/>
    <col min="25" max="25" width="7" bestFit="1" customWidth="1"/>
    <col min="26" max="26" width="6" bestFit="1" customWidth="1"/>
    <col min="27" max="27" width="5" bestFit="1" customWidth="1"/>
    <col min="28" max="28" width="8" bestFit="1" customWidth="1"/>
    <col min="29" max="29" width="5" bestFit="1" customWidth="1"/>
    <col min="30" max="30" width="6" bestFit="1" customWidth="1"/>
    <col min="31" max="31" width="9" bestFit="1" customWidth="1"/>
    <col min="32" max="32" width="7" bestFit="1" customWidth="1"/>
    <col min="33" max="33" width="8" bestFit="1" customWidth="1"/>
    <col min="34" max="34" width="6" bestFit="1" customWidth="1"/>
    <col min="35" max="35" width="8" bestFit="1" customWidth="1"/>
    <col min="36" max="36" width="4" bestFit="1" customWidth="1"/>
    <col min="37" max="37" width="7" bestFit="1" customWidth="1"/>
    <col min="38" max="38" width="4" bestFit="1" customWidth="1"/>
    <col min="39" max="39" width="3.77734375" bestFit="1" customWidth="1"/>
    <col min="40" max="45" width="5" bestFit="1" customWidth="1"/>
    <col min="46" max="47" width="4" bestFit="1" customWidth="1"/>
    <col min="48" max="48" width="5" bestFit="1" customWidth="1"/>
    <col min="49" max="49" width="7" bestFit="1" customWidth="1"/>
    <col min="50" max="50" width="6" bestFit="1" customWidth="1"/>
    <col min="51" max="52" width="12" bestFit="1" customWidth="1"/>
    <col min="53" max="53" width="5" bestFit="1" customWidth="1"/>
    <col min="54" max="54" width="7" bestFit="1" customWidth="1"/>
    <col min="55" max="58" width="5" bestFit="1" customWidth="1"/>
  </cols>
  <sheetData>
    <row r="1" spans="1:58" x14ac:dyDescent="0.3">
      <c r="A1" t="s">
        <v>148</v>
      </c>
      <c r="B1" t="s">
        <v>123</v>
      </c>
      <c r="C1" t="s">
        <v>124</v>
      </c>
      <c r="D1" t="s">
        <v>125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  <c r="J1" t="s">
        <v>131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  <c r="AT1" t="s">
        <v>35</v>
      </c>
      <c r="AU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E1" t="s">
        <v>46</v>
      </c>
      <c r="BF1" t="s">
        <v>47</v>
      </c>
    </row>
    <row r="2" spans="1:58" x14ac:dyDescent="0.3">
      <c r="A2" t="s">
        <v>146</v>
      </c>
      <c r="B2">
        <v>954133</v>
      </c>
      <c r="C2">
        <v>57</v>
      </c>
      <c r="D2">
        <v>41.3</v>
      </c>
      <c r="E2">
        <v>2.2331409202932018</v>
      </c>
      <c r="F2">
        <v>8.8000000000000007</v>
      </c>
      <c r="G2">
        <v>-6.69</v>
      </c>
      <c r="H2">
        <v>-2.4</v>
      </c>
      <c r="I2">
        <v>903</v>
      </c>
      <c r="J2">
        <v>9.4729169863434084</v>
      </c>
      <c r="K2">
        <v>127</v>
      </c>
      <c r="L2">
        <v>12347</v>
      </c>
      <c r="M2">
        <v>81</v>
      </c>
      <c r="N2">
        <v>62534</v>
      </c>
      <c r="O2">
        <v>1038</v>
      </c>
      <c r="P2">
        <v>332.28</v>
      </c>
      <c r="Q2">
        <v>71</v>
      </c>
      <c r="R2">
        <v>7514.69</v>
      </c>
      <c r="S2">
        <v>0</v>
      </c>
      <c r="T2">
        <v>398</v>
      </c>
      <c r="U2">
        <v>10409.5</v>
      </c>
      <c r="V2">
        <v>8636</v>
      </c>
      <c r="W2">
        <v>3811</v>
      </c>
      <c r="X2">
        <v>0.9</v>
      </c>
      <c r="Y2">
        <v>22.51</v>
      </c>
      <c r="Z2">
        <v>8848</v>
      </c>
      <c r="AA2">
        <v>3.8</v>
      </c>
      <c r="AB2">
        <v>582189</v>
      </c>
      <c r="AC2">
        <v>347</v>
      </c>
      <c r="AD2">
        <v>3702</v>
      </c>
      <c r="AE2">
        <v>8239.69</v>
      </c>
      <c r="AF2">
        <v>270.11</v>
      </c>
      <c r="AG2">
        <v>2768.03</v>
      </c>
      <c r="AH2">
        <v>8.8000000000000007</v>
      </c>
      <c r="AI2">
        <v>1279.55</v>
      </c>
      <c r="AJ2">
        <v>1.3</v>
      </c>
      <c r="AK2">
        <v>2087.9</v>
      </c>
      <c r="AL2">
        <v>2.9</v>
      </c>
      <c r="AM2">
        <v>2</v>
      </c>
      <c r="AN2">
        <v>958</v>
      </c>
      <c r="AO2">
        <v>25</v>
      </c>
      <c r="AP2">
        <v>6.4</v>
      </c>
      <c r="AQ2">
        <v>45.8</v>
      </c>
      <c r="AR2">
        <v>10.7</v>
      </c>
      <c r="AS2">
        <v>1.39</v>
      </c>
      <c r="AT2">
        <v>2.9</v>
      </c>
      <c r="AU2">
        <v>2.2000000000000002</v>
      </c>
      <c r="AV2">
        <v>8.4600000000000009</v>
      </c>
      <c r="AW2">
        <v>8273</v>
      </c>
      <c r="AX2">
        <v>353</v>
      </c>
      <c r="AY2">
        <v>0.61943214965480731</v>
      </c>
      <c r="AZ2">
        <v>5.8247130583527209</v>
      </c>
      <c r="BA2">
        <v>4.3</v>
      </c>
      <c r="BB2">
        <v>10559</v>
      </c>
      <c r="BC2">
        <v>52.7</v>
      </c>
      <c r="BD2">
        <v>57.9</v>
      </c>
      <c r="BE2">
        <v>20</v>
      </c>
      <c r="BF2">
        <v>68.900000000000006</v>
      </c>
    </row>
    <row r="3" spans="1:58" x14ac:dyDescent="0.3">
      <c r="A3" t="s">
        <v>147</v>
      </c>
      <c r="B3">
        <v>5514699</v>
      </c>
      <c r="C3">
        <v>355</v>
      </c>
      <c r="D3">
        <v>76.099999999999994</v>
      </c>
      <c r="E3">
        <v>6.4209691596285392</v>
      </c>
      <c r="F3">
        <v>13.8</v>
      </c>
      <c r="G3">
        <v>-1.82</v>
      </c>
      <c r="H3">
        <v>2.5</v>
      </c>
      <c r="I3">
        <v>982</v>
      </c>
      <c r="J3">
        <v>15.608251387133988</v>
      </c>
      <c r="K3">
        <v>516</v>
      </c>
      <c r="L3">
        <v>284117</v>
      </c>
      <c r="M3">
        <v>87</v>
      </c>
      <c r="N3">
        <v>142761</v>
      </c>
      <c r="O3">
        <v>1911</v>
      </c>
      <c r="P3">
        <v>1077.07</v>
      </c>
      <c r="Q3">
        <v>144</v>
      </c>
      <c r="R3">
        <v>10018.709999999999</v>
      </c>
      <c r="S3">
        <v>1.79</v>
      </c>
      <c r="T3">
        <v>1323.2</v>
      </c>
      <c r="U3">
        <v>56326.3</v>
      </c>
      <c r="V3">
        <v>41864.800000000003</v>
      </c>
      <c r="W3">
        <v>24985</v>
      </c>
      <c r="X3">
        <v>3.2</v>
      </c>
      <c r="Y3">
        <v>153.68</v>
      </c>
      <c r="Z3">
        <v>70180</v>
      </c>
      <c r="AA3">
        <v>15.3</v>
      </c>
      <c r="AB3">
        <v>3713473</v>
      </c>
      <c r="AC3">
        <v>2866</v>
      </c>
      <c r="AD3">
        <v>13687</v>
      </c>
      <c r="AE3">
        <v>10843.21</v>
      </c>
      <c r="AF3">
        <v>399.79</v>
      </c>
      <c r="AG3">
        <v>3819.62</v>
      </c>
      <c r="AH3">
        <v>32.51</v>
      </c>
      <c r="AI3">
        <v>2219.9899999999998</v>
      </c>
      <c r="AJ3">
        <v>3.2</v>
      </c>
      <c r="AK3">
        <v>4311.1000000000004</v>
      </c>
      <c r="AL3">
        <v>6</v>
      </c>
      <c r="AM3">
        <v>7</v>
      </c>
      <c r="AN3">
        <v>2470</v>
      </c>
      <c r="AO3">
        <v>52.2</v>
      </c>
      <c r="AP3">
        <v>12.2</v>
      </c>
      <c r="AQ3">
        <v>70.2</v>
      </c>
      <c r="AR3">
        <v>16.8</v>
      </c>
      <c r="AS3">
        <v>2.99</v>
      </c>
      <c r="AT3">
        <v>8.6999999999999993</v>
      </c>
      <c r="AU3">
        <v>5.2</v>
      </c>
      <c r="AV3">
        <v>94.5</v>
      </c>
      <c r="AW3">
        <v>101574</v>
      </c>
      <c r="AX3">
        <v>464.8</v>
      </c>
      <c r="AY3">
        <v>1.0582029732475284</v>
      </c>
      <c r="AZ3">
        <v>18.27954099594206</v>
      </c>
      <c r="BA3">
        <v>12.3</v>
      </c>
      <c r="BB3">
        <v>147216</v>
      </c>
      <c r="BC3">
        <v>63.3</v>
      </c>
      <c r="BD3">
        <v>60.3</v>
      </c>
      <c r="BE3">
        <v>32.4</v>
      </c>
      <c r="BF3">
        <v>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DESCRIPTION</vt:lpstr>
      <vt:lpstr>raw_data</vt:lpstr>
      <vt:lpstr>normalized_data</vt:lpstr>
      <vt:lpstr>statistics_data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Faltynowski</dc:creator>
  <cp:lastModifiedBy>Daniel Faltynowski</cp:lastModifiedBy>
  <dcterms:created xsi:type="dcterms:W3CDTF">2026-03-15T20:58:31Z</dcterms:created>
  <dcterms:modified xsi:type="dcterms:W3CDTF">2026-03-21T20:22:11Z</dcterms:modified>
</cp:coreProperties>
</file>