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apha\Downloads\"/>
    </mc:Choice>
  </mc:AlternateContent>
  <xr:revisionPtr revIDLastSave="0" documentId="13_ncr:1_{8F938DD1-7341-4FAA-9C9D-836012217EB9}" xr6:coauthVersionLast="47" xr6:coauthVersionMax="47" xr10:uidLastSave="{00000000-0000-0000-0000-000000000000}"/>
  <bookViews>
    <workbookView xWindow="-108" yWindow="-108" windowWidth="23256" windowHeight="13896" tabRatio="500" activeTab="2" xr2:uid="{00000000-000D-0000-FFFF-FFFF00000000}"/>
  </bookViews>
  <sheets>
    <sheet name="OPIS" sheetId="2" r:id="rId1"/>
    <sheet name="dane" sheetId="1" r:id="rId2"/>
    <sheet name="pokategoryzowane" sheetId="5" r:id="rId3"/>
    <sheet name="znormalizowane" sheetId="8" r:id="rId4"/>
  </sheets>
  <definedNames>
    <definedName name="_xlnm._FilterDatabase" localSheetId="0" hidden="1">OPIS!$A$2:$C$26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Z22" i="5" l="1"/>
  <c r="Z23" i="5"/>
  <c r="Z24" i="5"/>
  <c r="Z25" i="5"/>
  <c r="Z44" i="5" s="1"/>
  <c r="Z26" i="5"/>
  <c r="Z45" i="5" s="1"/>
  <c r="Z27" i="5"/>
  <c r="Z46" i="5" s="1"/>
  <c r="Z28" i="5"/>
  <c r="Z29" i="5"/>
  <c r="Z30" i="5"/>
  <c r="Z31" i="5"/>
  <c r="Z50" i="5" s="1"/>
  <c r="Z32" i="5"/>
  <c r="Z51" i="5" s="1"/>
  <c r="Z33" i="5"/>
  <c r="Z52" i="5" s="1"/>
  <c r="Z34" i="5"/>
  <c r="Z35" i="5"/>
  <c r="Z36" i="5"/>
  <c r="Z21" i="5"/>
  <c r="T22" i="5"/>
  <c r="T23" i="5"/>
  <c r="T24" i="5"/>
  <c r="T25" i="5"/>
  <c r="T26" i="5"/>
  <c r="T27" i="5"/>
  <c r="T28" i="5"/>
  <c r="T29" i="5"/>
  <c r="T30" i="5"/>
  <c r="T31" i="5"/>
  <c r="T50" i="5" s="1"/>
  <c r="T32" i="5"/>
  <c r="T51" i="5" s="1"/>
  <c r="T33" i="5"/>
  <c r="T52" i="5" s="1"/>
  <c r="T34" i="5"/>
  <c r="T35" i="5"/>
  <c r="T36" i="5"/>
  <c r="T21" i="5"/>
  <c r="T40" i="5"/>
  <c r="D40" i="5"/>
  <c r="E40" i="5"/>
  <c r="F40" i="5"/>
  <c r="G40" i="5"/>
  <c r="H40" i="5"/>
  <c r="I40" i="5"/>
  <c r="J40" i="5"/>
  <c r="K40" i="5"/>
  <c r="L40" i="5"/>
  <c r="M40" i="5"/>
  <c r="N40" i="5"/>
  <c r="O40" i="5"/>
  <c r="P40" i="5"/>
  <c r="Q40" i="5"/>
  <c r="R40" i="5"/>
  <c r="S40" i="5"/>
  <c r="U40" i="5"/>
  <c r="V40" i="5"/>
  <c r="W40" i="5"/>
  <c r="X40" i="5"/>
  <c r="Y40" i="5"/>
  <c r="Z40" i="5"/>
  <c r="AA40" i="5"/>
  <c r="D41" i="5"/>
  <c r="E41" i="5"/>
  <c r="F41" i="5"/>
  <c r="G41" i="5"/>
  <c r="H41" i="5"/>
  <c r="I41" i="5"/>
  <c r="J41" i="5"/>
  <c r="K41" i="5"/>
  <c r="L41" i="5"/>
  <c r="M41" i="5"/>
  <c r="N41" i="5"/>
  <c r="O41" i="5"/>
  <c r="P41" i="5"/>
  <c r="Q41" i="5"/>
  <c r="R41" i="5"/>
  <c r="S41" i="5"/>
  <c r="U41" i="5"/>
  <c r="V41" i="5"/>
  <c r="W41" i="5"/>
  <c r="X41" i="5"/>
  <c r="Y41" i="5"/>
  <c r="Z41" i="5"/>
  <c r="AA41" i="5"/>
  <c r="D42" i="5"/>
  <c r="E42" i="5"/>
  <c r="F42" i="5"/>
  <c r="G42" i="5"/>
  <c r="H42" i="5"/>
  <c r="I42" i="5"/>
  <c r="J42" i="5"/>
  <c r="K42" i="5"/>
  <c r="L42" i="5"/>
  <c r="M42" i="5"/>
  <c r="N42" i="5"/>
  <c r="O42" i="5"/>
  <c r="P42" i="5"/>
  <c r="Q42" i="5"/>
  <c r="R42" i="5"/>
  <c r="S42" i="5"/>
  <c r="U42" i="5"/>
  <c r="V42" i="5"/>
  <c r="W42" i="5"/>
  <c r="X42" i="5"/>
  <c r="Y42" i="5"/>
  <c r="Z42" i="5"/>
  <c r="AA42" i="5"/>
  <c r="D43" i="5"/>
  <c r="E43" i="5"/>
  <c r="F43" i="5"/>
  <c r="G43" i="5"/>
  <c r="H43" i="5"/>
  <c r="I43" i="5"/>
  <c r="J43" i="5"/>
  <c r="K43" i="5"/>
  <c r="L43" i="5"/>
  <c r="M43" i="5"/>
  <c r="N43" i="5"/>
  <c r="O43" i="5"/>
  <c r="P43" i="5"/>
  <c r="Q43" i="5"/>
  <c r="R43" i="5"/>
  <c r="S43" i="5"/>
  <c r="U43" i="5"/>
  <c r="V43" i="5"/>
  <c r="W43" i="5"/>
  <c r="X43" i="5"/>
  <c r="Y43" i="5"/>
  <c r="Z43" i="5"/>
  <c r="AA43" i="5"/>
  <c r="D44" i="5"/>
  <c r="E44" i="5"/>
  <c r="F44" i="5"/>
  <c r="G44" i="5"/>
  <c r="H44" i="5"/>
  <c r="I44" i="5"/>
  <c r="J44" i="5"/>
  <c r="K44" i="5"/>
  <c r="L44" i="5"/>
  <c r="M44" i="5"/>
  <c r="N44" i="5"/>
  <c r="O44" i="5"/>
  <c r="P44" i="5"/>
  <c r="Q44" i="5"/>
  <c r="R44" i="5"/>
  <c r="S44" i="5"/>
  <c r="U44" i="5"/>
  <c r="V44" i="5"/>
  <c r="W44" i="5"/>
  <c r="X44" i="5"/>
  <c r="Y44" i="5"/>
  <c r="AA44" i="5"/>
  <c r="D45" i="5"/>
  <c r="E45" i="5"/>
  <c r="F45" i="5"/>
  <c r="G45" i="5"/>
  <c r="H45" i="5"/>
  <c r="I45" i="5"/>
  <c r="J45" i="5"/>
  <c r="K45" i="5"/>
  <c r="L45" i="5"/>
  <c r="M45" i="5"/>
  <c r="N45" i="5"/>
  <c r="O45" i="5"/>
  <c r="P45" i="5"/>
  <c r="Q45" i="5"/>
  <c r="R45" i="5"/>
  <c r="S45" i="5"/>
  <c r="U45" i="5"/>
  <c r="V45" i="5"/>
  <c r="W45" i="5"/>
  <c r="X45" i="5"/>
  <c r="Y45" i="5"/>
  <c r="AA45" i="5"/>
  <c r="D46" i="5"/>
  <c r="E46" i="5"/>
  <c r="F46" i="5"/>
  <c r="G46" i="5"/>
  <c r="H46" i="5"/>
  <c r="I46" i="5"/>
  <c r="J46" i="5"/>
  <c r="K46" i="5"/>
  <c r="L46" i="5"/>
  <c r="M46" i="5"/>
  <c r="N46" i="5"/>
  <c r="O46" i="5"/>
  <c r="P46" i="5"/>
  <c r="Q46" i="5"/>
  <c r="R46" i="5"/>
  <c r="S46" i="5"/>
  <c r="U46" i="5"/>
  <c r="V46" i="5"/>
  <c r="W46" i="5"/>
  <c r="X46" i="5"/>
  <c r="Y46" i="5"/>
  <c r="AA46" i="5"/>
  <c r="D47" i="5"/>
  <c r="E47" i="5"/>
  <c r="F47" i="5"/>
  <c r="G47" i="5"/>
  <c r="H47" i="5"/>
  <c r="I47" i="5"/>
  <c r="J47" i="5"/>
  <c r="K47" i="5"/>
  <c r="L47" i="5"/>
  <c r="M47" i="5"/>
  <c r="N47" i="5"/>
  <c r="O47" i="5"/>
  <c r="P47" i="5"/>
  <c r="Q47" i="5"/>
  <c r="R47" i="5"/>
  <c r="S47" i="5"/>
  <c r="U47" i="5"/>
  <c r="V47" i="5"/>
  <c r="W47" i="5"/>
  <c r="X47" i="5"/>
  <c r="Y47" i="5"/>
  <c r="Z47" i="5"/>
  <c r="AA47" i="5"/>
  <c r="D48" i="5"/>
  <c r="E48" i="5"/>
  <c r="F48" i="5"/>
  <c r="G48" i="5"/>
  <c r="H48" i="5"/>
  <c r="I48" i="5"/>
  <c r="J48" i="5"/>
  <c r="K48" i="5"/>
  <c r="L48" i="5"/>
  <c r="M48" i="5"/>
  <c r="N48" i="5"/>
  <c r="O48" i="5"/>
  <c r="P48" i="5"/>
  <c r="Q48" i="5"/>
  <c r="R48" i="5"/>
  <c r="S48" i="5"/>
  <c r="U48" i="5"/>
  <c r="V48" i="5"/>
  <c r="W48" i="5"/>
  <c r="X48" i="5"/>
  <c r="Y48" i="5"/>
  <c r="Z48" i="5"/>
  <c r="AA48" i="5"/>
  <c r="D49" i="5"/>
  <c r="E49" i="5"/>
  <c r="F49" i="5"/>
  <c r="G49" i="5"/>
  <c r="H49" i="5"/>
  <c r="I49" i="5"/>
  <c r="J49" i="5"/>
  <c r="K49" i="5"/>
  <c r="L49" i="5"/>
  <c r="M49" i="5"/>
  <c r="N49" i="5"/>
  <c r="O49" i="5"/>
  <c r="P49" i="5"/>
  <c r="Q49" i="5"/>
  <c r="R49" i="5"/>
  <c r="S49" i="5"/>
  <c r="U49" i="5"/>
  <c r="V49" i="5"/>
  <c r="W49" i="5"/>
  <c r="X49" i="5"/>
  <c r="Y49" i="5"/>
  <c r="Z49" i="5"/>
  <c r="AA49" i="5"/>
  <c r="D50" i="5"/>
  <c r="E50" i="5"/>
  <c r="F50" i="5"/>
  <c r="G50" i="5"/>
  <c r="H50" i="5"/>
  <c r="I50" i="5"/>
  <c r="J50" i="5"/>
  <c r="K50" i="5"/>
  <c r="L50" i="5"/>
  <c r="M50" i="5"/>
  <c r="N50" i="5"/>
  <c r="O50" i="5"/>
  <c r="P50" i="5"/>
  <c r="Q50" i="5"/>
  <c r="R50" i="5"/>
  <c r="S50" i="5"/>
  <c r="U50" i="5"/>
  <c r="V50" i="5"/>
  <c r="W50" i="5"/>
  <c r="X50" i="5"/>
  <c r="Y50" i="5"/>
  <c r="AA50" i="5"/>
  <c r="D51" i="5"/>
  <c r="E51" i="5"/>
  <c r="F51" i="5"/>
  <c r="G51" i="5"/>
  <c r="H51" i="5"/>
  <c r="I51" i="5"/>
  <c r="J51" i="5"/>
  <c r="K51" i="5"/>
  <c r="L51" i="5"/>
  <c r="M51" i="5"/>
  <c r="N51" i="5"/>
  <c r="O51" i="5"/>
  <c r="P51" i="5"/>
  <c r="Q51" i="5"/>
  <c r="R51" i="5"/>
  <c r="S51" i="5"/>
  <c r="U51" i="5"/>
  <c r="V51" i="5"/>
  <c r="W51" i="5"/>
  <c r="X51" i="5"/>
  <c r="Y51" i="5"/>
  <c r="AA51" i="5"/>
  <c r="D52" i="5"/>
  <c r="E52" i="5"/>
  <c r="F52" i="5"/>
  <c r="G52" i="5"/>
  <c r="H52" i="5"/>
  <c r="I52" i="5"/>
  <c r="J52" i="5"/>
  <c r="K52" i="5"/>
  <c r="L52" i="5"/>
  <c r="M52" i="5"/>
  <c r="N52" i="5"/>
  <c r="O52" i="5"/>
  <c r="P52" i="5"/>
  <c r="Q52" i="5"/>
  <c r="R52" i="5"/>
  <c r="S52" i="5"/>
  <c r="U52" i="5"/>
  <c r="V52" i="5"/>
  <c r="W52" i="5"/>
  <c r="X52" i="5"/>
  <c r="Y52" i="5"/>
  <c r="AA52" i="5"/>
  <c r="D53" i="5"/>
  <c r="E53" i="5"/>
  <c r="F53" i="5"/>
  <c r="G53" i="5"/>
  <c r="H53" i="5"/>
  <c r="I53" i="5"/>
  <c r="J53" i="5"/>
  <c r="K53" i="5"/>
  <c r="L53" i="5"/>
  <c r="M53" i="5"/>
  <c r="N53" i="5"/>
  <c r="O53" i="5"/>
  <c r="P53" i="5"/>
  <c r="Q53" i="5"/>
  <c r="R53" i="5"/>
  <c r="S53" i="5"/>
  <c r="U53" i="5"/>
  <c r="V53" i="5"/>
  <c r="W53" i="5"/>
  <c r="X53" i="5"/>
  <c r="Y53" i="5"/>
  <c r="Z53" i="5"/>
  <c r="AA53" i="5"/>
  <c r="D54" i="5"/>
  <c r="E54" i="5"/>
  <c r="F54" i="5"/>
  <c r="G54" i="5"/>
  <c r="H54" i="5"/>
  <c r="I54" i="5"/>
  <c r="J54" i="5"/>
  <c r="K54" i="5"/>
  <c r="L54" i="5"/>
  <c r="M54" i="5"/>
  <c r="N54" i="5"/>
  <c r="O54" i="5"/>
  <c r="P54" i="5"/>
  <c r="Q54" i="5"/>
  <c r="R54" i="5"/>
  <c r="S54" i="5"/>
  <c r="U54" i="5"/>
  <c r="V54" i="5"/>
  <c r="W54" i="5"/>
  <c r="X54" i="5"/>
  <c r="Y54" i="5"/>
  <c r="Z54" i="5"/>
  <c r="AA54" i="5"/>
  <c r="D55" i="5"/>
  <c r="E55" i="5"/>
  <c r="F55" i="5"/>
  <c r="G55" i="5"/>
  <c r="H55" i="5"/>
  <c r="I55" i="5"/>
  <c r="J55" i="5"/>
  <c r="K55" i="5"/>
  <c r="L55" i="5"/>
  <c r="M55" i="5"/>
  <c r="N55" i="5"/>
  <c r="O55" i="5"/>
  <c r="P55" i="5"/>
  <c r="Q55" i="5"/>
  <c r="R55" i="5"/>
  <c r="S55" i="5"/>
  <c r="U55" i="5"/>
  <c r="V55" i="5"/>
  <c r="W55" i="5"/>
  <c r="X55" i="5"/>
  <c r="Y55" i="5"/>
  <c r="Z55" i="5"/>
  <c r="AA55" i="5"/>
  <c r="C53" i="5"/>
  <c r="C54" i="5"/>
  <c r="C55" i="5"/>
  <c r="C41" i="5"/>
  <c r="C42" i="5"/>
  <c r="C43" i="5"/>
  <c r="C44" i="5"/>
  <c r="C45" i="5"/>
  <c r="C46" i="5"/>
  <c r="C47" i="5"/>
  <c r="C48" i="5"/>
  <c r="C49" i="5"/>
  <c r="C50" i="5"/>
  <c r="C51" i="5"/>
  <c r="C52" i="5"/>
  <c r="C40" i="5"/>
  <c r="D21" i="5"/>
  <c r="E21" i="5"/>
  <c r="F21" i="5"/>
  <c r="G21" i="5"/>
  <c r="H21" i="5"/>
  <c r="I21" i="5"/>
  <c r="J21" i="5"/>
  <c r="K21" i="5"/>
  <c r="L21" i="5"/>
  <c r="M21" i="5"/>
  <c r="N21" i="5"/>
  <c r="O21" i="5"/>
  <c r="P21" i="5"/>
  <c r="Q21" i="5"/>
  <c r="R21" i="5"/>
  <c r="S21" i="5"/>
  <c r="U21" i="5"/>
  <c r="V21" i="5"/>
  <c r="W21" i="5"/>
  <c r="X21" i="5"/>
  <c r="Y21" i="5"/>
  <c r="AA21" i="5"/>
  <c r="D22" i="5"/>
  <c r="E22" i="5"/>
  <c r="F22" i="5"/>
  <c r="G22" i="5"/>
  <c r="H22" i="5"/>
  <c r="I22" i="5"/>
  <c r="J22" i="5"/>
  <c r="K22" i="5"/>
  <c r="L22" i="5"/>
  <c r="M22" i="5"/>
  <c r="N22" i="5"/>
  <c r="O22" i="5"/>
  <c r="P22" i="5"/>
  <c r="Q22" i="5"/>
  <c r="R22" i="5"/>
  <c r="S22" i="5"/>
  <c r="T41" i="5"/>
  <c r="U22" i="5"/>
  <c r="V22" i="5"/>
  <c r="W22" i="5"/>
  <c r="X22" i="5"/>
  <c r="Y22" i="5"/>
  <c r="AA22" i="5"/>
  <c r="D23" i="5"/>
  <c r="E23" i="5"/>
  <c r="F23" i="5"/>
  <c r="G23" i="5"/>
  <c r="H23" i="5"/>
  <c r="I23" i="5"/>
  <c r="J23" i="5"/>
  <c r="K23" i="5"/>
  <c r="L23" i="5"/>
  <c r="M23" i="5"/>
  <c r="N23" i="5"/>
  <c r="O23" i="5"/>
  <c r="P23" i="5"/>
  <c r="Q23" i="5"/>
  <c r="R23" i="5"/>
  <c r="S23" i="5"/>
  <c r="T42" i="5"/>
  <c r="U23" i="5"/>
  <c r="V23" i="5"/>
  <c r="W23" i="5"/>
  <c r="X23" i="5"/>
  <c r="Y23" i="5"/>
  <c r="AA23" i="5"/>
  <c r="D24" i="5"/>
  <c r="E24" i="5"/>
  <c r="F24" i="5"/>
  <c r="G24" i="5"/>
  <c r="H24" i="5"/>
  <c r="I24" i="5"/>
  <c r="J24" i="5"/>
  <c r="K24" i="5"/>
  <c r="L24" i="5"/>
  <c r="M24" i="5"/>
  <c r="N24" i="5"/>
  <c r="O24" i="5"/>
  <c r="P24" i="5"/>
  <c r="Q24" i="5"/>
  <c r="R24" i="5"/>
  <c r="S24" i="5"/>
  <c r="T43" i="5"/>
  <c r="U24" i="5"/>
  <c r="V24" i="5"/>
  <c r="W24" i="5"/>
  <c r="X24" i="5"/>
  <c r="Y24" i="5"/>
  <c r="AA24" i="5"/>
  <c r="D25" i="5"/>
  <c r="E25" i="5"/>
  <c r="F25" i="5"/>
  <c r="G25" i="5"/>
  <c r="H25" i="5"/>
  <c r="I25" i="5"/>
  <c r="J25" i="5"/>
  <c r="K25" i="5"/>
  <c r="L25" i="5"/>
  <c r="M25" i="5"/>
  <c r="N25" i="5"/>
  <c r="O25" i="5"/>
  <c r="P25" i="5"/>
  <c r="Q25" i="5"/>
  <c r="R25" i="5"/>
  <c r="S25" i="5"/>
  <c r="T44" i="5"/>
  <c r="U25" i="5"/>
  <c r="V25" i="5"/>
  <c r="W25" i="5"/>
  <c r="X25" i="5"/>
  <c r="Y25" i="5"/>
  <c r="AA25" i="5"/>
  <c r="D26" i="5"/>
  <c r="E26" i="5"/>
  <c r="F26" i="5"/>
  <c r="G26" i="5"/>
  <c r="H26" i="5"/>
  <c r="I26" i="5"/>
  <c r="J26" i="5"/>
  <c r="K26" i="5"/>
  <c r="L26" i="5"/>
  <c r="M26" i="5"/>
  <c r="N26" i="5"/>
  <c r="O26" i="5"/>
  <c r="P26" i="5"/>
  <c r="Q26" i="5"/>
  <c r="R26" i="5"/>
  <c r="S26" i="5"/>
  <c r="T45" i="5"/>
  <c r="U26" i="5"/>
  <c r="V26" i="5"/>
  <c r="W26" i="5"/>
  <c r="X26" i="5"/>
  <c r="Y26" i="5"/>
  <c r="AA26" i="5"/>
  <c r="D27" i="5"/>
  <c r="E27" i="5"/>
  <c r="F27" i="5"/>
  <c r="G27" i="5"/>
  <c r="H27" i="5"/>
  <c r="I27" i="5"/>
  <c r="J27" i="5"/>
  <c r="K27" i="5"/>
  <c r="L27" i="5"/>
  <c r="M27" i="5"/>
  <c r="N27" i="5"/>
  <c r="O27" i="5"/>
  <c r="P27" i="5"/>
  <c r="Q27" i="5"/>
  <c r="R27" i="5"/>
  <c r="S27" i="5"/>
  <c r="T46" i="5"/>
  <c r="U27" i="5"/>
  <c r="V27" i="5"/>
  <c r="W27" i="5"/>
  <c r="X27" i="5"/>
  <c r="Y27" i="5"/>
  <c r="AA27" i="5"/>
  <c r="D28" i="5"/>
  <c r="E28" i="5"/>
  <c r="F28" i="5"/>
  <c r="G28" i="5"/>
  <c r="H28" i="5"/>
  <c r="I28" i="5"/>
  <c r="J28" i="5"/>
  <c r="K28" i="5"/>
  <c r="L28" i="5"/>
  <c r="M28" i="5"/>
  <c r="N28" i="5"/>
  <c r="O28" i="5"/>
  <c r="P28" i="5"/>
  <c r="Q28" i="5"/>
  <c r="R28" i="5"/>
  <c r="S28" i="5"/>
  <c r="T47" i="5"/>
  <c r="U28" i="5"/>
  <c r="V28" i="5"/>
  <c r="W28" i="5"/>
  <c r="X28" i="5"/>
  <c r="Y28" i="5"/>
  <c r="AA28" i="5"/>
  <c r="D29" i="5"/>
  <c r="E29" i="5"/>
  <c r="F29" i="5"/>
  <c r="G29" i="5"/>
  <c r="H29" i="5"/>
  <c r="I29" i="5"/>
  <c r="J29" i="5"/>
  <c r="K29" i="5"/>
  <c r="L29" i="5"/>
  <c r="M29" i="5"/>
  <c r="N29" i="5"/>
  <c r="O29" i="5"/>
  <c r="P29" i="5"/>
  <c r="Q29" i="5"/>
  <c r="R29" i="5"/>
  <c r="S29" i="5"/>
  <c r="T48" i="5"/>
  <c r="U29" i="5"/>
  <c r="V29" i="5"/>
  <c r="W29" i="5"/>
  <c r="X29" i="5"/>
  <c r="Y29" i="5"/>
  <c r="AA29" i="5"/>
  <c r="D30" i="5"/>
  <c r="E30" i="5"/>
  <c r="F30" i="5"/>
  <c r="G30" i="5"/>
  <c r="H30" i="5"/>
  <c r="I30" i="5"/>
  <c r="J30" i="5"/>
  <c r="K30" i="5"/>
  <c r="L30" i="5"/>
  <c r="M30" i="5"/>
  <c r="N30" i="5"/>
  <c r="O30" i="5"/>
  <c r="P30" i="5"/>
  <c r="Q30" i="5"/>
  <c r="R30" i="5"/>
  <c r="S30" i="5"/>
  <c r="T49" i="5"/>
  <c r="U30" i="5"/>
  <c r="V30" i="5"/>
  <c r="W30" i="5"/>
  <c r="X30" i="5"/>
  <c r="Y30" i="5"/>
  <c r="AA30" i="5"/>
  <c r="D31" i="5"/>
  <c r="E31" i="5"/>
  <c r="F31" i="5"/>
  <c r="G31" i="5"/>
  <c r="H31" i="5"/>
  <c r="I31" i="5"/>
  <c r="J31" i="5"/>
  <c r="K31" i="5"/>
  <c r="L31" i="5"/>
  <c r="M31" i="5"/>
  <c r="N31" i="5"/>
  <c r="O31" i="5"/>
  <c r="P31" i="5"/>
  <c r="Q31" i="5"/>
  <c r="R31" i="5"/>
  <c r="S31" i="5"/>
  <c r="U31" i="5"/>
  <c r="V31" i="5"/>
  <c r="W31" i="5"/>
  <c r="X31" i="5"/>
  <c r="Y31" i="5"/>
  <c r="AA31" i="5"/>
  <c r="D32" i="5"/>
  <c r="E32" i="5"/>
  <c r="F32" i="5"/>
  <c r="G32" i="5"/>
  <c r="H32" i="5"/>
  <c r="I32" i="5"/>
  <c r="J32" i="5"/>
  <c r="K32" i="5"/>
  <c r="L32" i="5"/>
  <c r="M32" i="5"/>
  <c r="N32" i="5"/>
  <c r="O32" i="5"/>
  <c r="P32" i="5"/>
  <c r="Q32" i="5"/>
  <c r="R32" i="5"/>
  <c r="S32" i="5"/>
  <c r="U32" i="5"/>
  <c r="V32" i="5"/>
  <c r="W32" i="5"/>
  <c r="X32" i="5"/>
  <c r="Y32" i="5"/>
  <c r="AA32" i="5"/>
  <c r="D33" i="5"/>
  <c r="E33" i="5"/>
  <c r="F33" i="5"/>
  <c r="G33" i="5"/>
  <c r="H33" i="5"/>
  <c r="I33" i="5"/>
  <c r="J33" i="5"/>
  <c r="K33" i="5"/>
  <c r="L33" i="5"/>
  <c r="M33" i="5"/>
  <c r="N33" i="5"/>
  <c r="O33" i="5"/>
  <c r="P33" i="5"/>
  <c r="Q33" i="5"/>
  <c r="R33" i="5"/>
  <c r="S33" i="5"/>
  <c r="U33" i="5"/>
  <c r="V33" i="5"/>
  <c r="W33" i="5"/>
  <c r="X33" i="5"/>
  <c r="Y33" i="5"/>
  <c r="AA33" i="5"/>
  <c r="D34" i="5"/>
  <c r="E34" i="5"/>
  <c r="F34" i="5"/>
  <c r="G34" i="5"/>
  <c r="H34" i="5"/>
  <c r="I34" i="5"/>
  <c r="J34" i="5"/>
  <c r="K34" i="5"/>
  <c r="L34" i="5"/>
  <c r="M34" i="5"/>
  <c r="N34" i="5"/>
  <c r="O34" i="5"/>
  <c r="P34" i="5"/>
  <c r="Q34" i="5"/>
  <c r="R34" i="5"/>
  <c r="S34" i="5"/>
  <c r="T53" i="5"/>
  <c r="U34" i="5"/>
  <c r="V34" i="5"/>
  <c r="W34" i="5"/>
  <c r="X34" i="5"/>
  <c r="Y34" i="5"/>
  <c r="AA34" i="5"/>
  <c r="D35" i="5"/>
  <c r="E35" i="5"/>
  <c r="F35" i="5"/>
  <c r="G35" i="5"/>
  <c r="H35" i="5"/>
  <c r="I35" i="5"/>
  <c r="J35" i="5"/>
  <c r="K35" i="5"/>
  <c r="L35" i="5"/>
  <c r="M35" i="5"/>
  <c r="N35" i="5"/>
  <c r="O35" i="5"/>
  <c r="P35" i="5"/>
  <c r="Q35" i="5"/>
  <c r="R35" i="5"/>
  <c r="S35" i="5"/>
  <c r="T54" i="5"/>
  <c r="U35" i="5"/>
  <c r="V35" i="5"/>
  <c r="W35" i="5"/>
  <c r="X35" i="5"/>
  <c r="Y35" i="5"/>
  <c r="AA35" i="5"/>
  <c r="D36" i="5"/>
  <c r="E36" i="5"/>
  <c r="F36" i="5"/>
  <c r="G36" i="5"/>
  <c r="H36" i="5"/>
  <c r="I36" i="5"/>
  <c r="J36" i="5"/>
  <c r="K36" i="5"/>
  <c r="L36" i="5"/>
  <c r="M36" i="5"/>
  <c r="N36" i="5"/>
  <c r="O36" i="5"/>
  <c r="P36" i="5"/>
  <c r="Q36" i="5"/>
  <c r="R36" i="5"/>
  <c r="S36" i="5"/>
  <c r="T55" i="5"/>
  <c r="U36" i="5"/>
  <c r="V36" i="5"/>
  <c r="W36" i="5"/>
  <c r="X36" i="5"/>
  <c r="Y36" i="5"/>
  <c r="AA36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21" i="5"/>
</calcChain>
</file>

<file path=xl/sharedStrings.xml><?xml version="1.0" encoding="utf-8"?>
<sst xmlns="http://schemas.openxmlformats.org/spreadsheetml/2006/main" count="197" uniqueCount="85">
  <si>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</si>
  <si>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</si>
  <si>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</si>
  <si>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</si>
  <si>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</si>
  <si>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</si>
  <si>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</si>
  <si>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</si>
  <si>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</si>
  <si>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</si>
  <si>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</si>
  <si>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</si>
  <si>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</si>
  <si>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</si>
  <si>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</si>
  <si>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</si>
  <si>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</si>
  <si>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</si>
  <si>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</si>
  <si>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x20</t>
  </si>
  <si>
    <t>x21</t>
  </si>
  <si>
    <t>x22</t>
  </si>
  <si>
    <t>x23</t>
  </si>
  <si>
    <t>x24</t>
  </si>
  <si>
    <t>x25</t>
  </si>
  <si>
    <t>DOLNOŚLĄSKIE</t>
  </si>
  <si>
    <t>KUJAWSKO-POMORSKIE</t>
  </si>
  <si>
    <t>LUBELSKIE</t>
  </si>
  <si>
    <t>LUBUSKIE</t>
  </si>
  <si>
    <t>ŁÓDZKIE</t>
  </si>
  <si>
    <t>MAŁOPOLSKIE</t>
  </si>
  <si>
    <t>MAZOWIECKIE</t>
  </si>
  <si>
    <t>OPOLSKIE</t>
  </si>
  <si>
    <t>PODKARPACKIE</t>
  </si>
  <si>
    <t>PODLASKIE</t>
  </si>
  <si>
    <t>POMORSKIE</t>
  </si>
  <si>
    <t>ŚLĄSKIE</t>
  </si>
  <si>
    <t>ŚWIĘTOKRZYSKIE</t>
  </si>
  <si>
    <t>WARMIŃSKO-MAZURSKIE</t>
  </si>
  <si>
    <t>WIELKOPOLSKIE</t>
  </si>
  <si>
    <t>ZACHODNIOPOMORSKIE</t>
  </si>
  <si>
    <t>pkb na osobę w 2023 w zl</t>
  </si>
  <si>
    <t>podmioty wpisane do rejestru REGON na 10 tys. Ludności – 2024</t>
  </si>
  <si>
    <t>dochody budżetów województw na 1 mieszkanca w roku 2024.</t>
  </si>
  <si>
    <t>nakłady inwestycyjne w przedsiębiorstwach na 1 mieszkańca w 2024</t>
  </si>
  <si>
    <t>jednostki nowo zarejestrowane w rejestrze REGON w roku 2024 na 10 tys. Ludności</t>
  </si>
  <si>
    <t>Stopa % bezrobocia w grudniu 2024</t>
  </si>
  <si>
    <t>Przeciętne miesięczne wynagrodzenia brutto w 2024</t>
  </si>
  <si>
    <t>WSPÓŁCZYNNIK AKTYWNOŚCI ZAWODOWEJ OSÓB W WIEKU 15-89 LAT w 4 kwartale 2024</t>
  </si>
  <si>
    <t xml:space="preserve"> BENEFICJENCI ŚRODOWISKOWEJ POMOCY SPOŁECZNEJ w %</t>
  </si>
  <si>
    <t>Liczba mieszkań na 1000 mieszkańców w 2024 r</t>
  </si>
  <si>
    <t>Położne na 10,000 kobiet 31 grudnia 2023</t>
  </si>
  <si>
    <t xml:space="preserve"> Pielęgniarki pracujące bezpośrednio z pacjentem według województw na 10 tys mieszkańców – 31 grudnia 2023</t>
  </si>
  <si>
    <t>Lekarze dentyści pracujący bezpośrednio z pacjentem według województw – na 10 tys Mieszkańców – stan 31 grudnia 2023</t>
  </si>
  <si>
    <t xml:space="preserve"> Lekarze pracujący bezpośrednio z pacjentem według województw w przeliczeniu na 10 tys. Mieszkańców – stan w dniu 31 grudnia 2023</t>
  </si>
  <si>
    <t>zajęcia prowadzone przez teatry i instytucje muzyczne, muzea oraz centra, domy, ośrodki kultury, kluby i świetlice na 1000 ludności</t>
  </si>
  <si>
    <t>średnia liczba godzin otwarcia biblioteki publicznej po godz. 16.00 w 2024</t>
  </si>
  <si>
    <t>pozycje księgozbioru bibliotek publicznych na 1 000 ludności</t>
  </si>
  <si>
    <t>biblioteki publiczne na 10 000 ludności w 2024</t>
  </si>
  <si>
    <t>udzielone noclegi ogółem styczeń-grudzień na 10000 ludności w 2024</t>
  </si>
  <si>
    <t>miejsca noclegowe na 1000 ludnosci w 2024</t>
  </si>
  <si>
    <r>
      <rPr>
        <sz val="11"/>
        <color rgb="FF000000"/>
        <rFont val="Calibri"/>
        <family val="2"/>
        <charset val="238"/>
      </rPr>
      <t>wydatk</t>
    </r>
    <r>
      <rPr>
        <sz val="10"/>
        <color rgb="FF000000"/>
        <rFont val="Arial"/>
        <family val="2"/>
        <charset val="238"/>
      </rPr>
      <t xml:space="preserve">i inwestycyjne budzetów gmin I miast na prawach powiatu </t>
    </r>
    <r>
      <rPr>
        <sz val="11"/>
        <color rgb="FF000000"/>
        <rFont val="Calibri"/>
        <family val="2"/>
        <charset val="238"/>
      </rPr>
      <t>na 1 mieszkanca w 2024</t>
    </r>
  </si>
  <si>
    <r>
      <rPr>
        <sz val="11"/>
        <color rgb="FF000000"/>
        <rFont val="Calibri"/>
        <family val="2"/>
        <charset val="238"/>
      </rPr>
      <t>wydatk</t>
    </r>
    <r>
      <rPr>
        <sz val="10"/>
        <color rgb="FF000000"/>
        <rFont val="Arial"/>
        <family val="2"/>
        <charset val="238"/>
      </rPr>
      <t xml:space="preserve">i budzetów gmin I miast na prawach powiatu </t>
    </r>
    <r>
      <rPr>
        <sz val="11"/>
        <color rgb="FF000000"/>
        <rFont val="Calibri"/>
        <family val="2"/>
        <charset val="238"/>
      </rPr>
      <t>na Ochrona powietrza atmosferycznego i klimatu na 1 mieszkanca w 2024</t>
    </r>
  </si>
  <si>
    <r>
      <rPr>
        <sz val="10"/>
        <rFont val="Arial"/>
        <family val="2"/>
        <charset val="238"/>
      </rPr>
      <t>Wydatki budzetów gmin I miast na prawach powiatu na oświatena 1 mieszkanca</t>
    </r>
    <r>
      <rPr>
        <sz val="11"/>
        <color rgb="FF000000"/>
        <rFont val="Calibri"/>
        <family val="2"/>
        <charset val="238"/>
      </rPr>
      <t xml:space="preserve"> w 2024</t>
    </r>
  </si>
  <si>
    <r>
      <rPr>
        <sz val="10"/>
        <rFont val="Arial"/>
        <family val="2"/>
        <charset val="238"/>
      </rPr>
      <t>Wydatki budzetów gmin I miast na prawach powiatu na kulturę I ochronę dziedzictwa narodowego na 1 mieszkanca</t>
    </r>
    <r>
      <rPr>
        <sz val="11"/>
        <color rgb="FF000000"/>
        <rFont val="Calibri"/>
        <family val="2"/>
        <charset val="238"/>
      </rPr>
      <t xml:space="preserve"> w 2024</t>
    </r>
  </si>
  <si>
    <r>
      <rPr>
        <sz val="10"/>
        <rFont val="Arial"/>
        <family val="2"/>
        <charset val="238"/>
      </rPr>
      <t xml:space="preserve"> WYDATKI BUDŻETÓW GMIN I MIAST NA PRAWACH POWIATU na 1 mieszkanca</t>
    </r>
    <r>
      <rPr>
        <sz val="11"/>
        <color rgb="FF000000"/>
        <rFont val="Calibri"/>
        <family val="2"/>
        <charset val="238"/>
      </rPr>
      <t xml:space="preserve"> w 2024</t>
    </r>
  </si>
  <si>
    <t>voiodeship</t>
  </si>
  <si>
    <t>id</t>
  </si>
  <si>
    <t>GOSPODARKA I FINANSE</t>
  </si>
  <si>
    <t>INWESTYCJE</t>
  </si>
  <si>
    <t>OCHRONA ZDROWIA</t>
  </si>
  <si>
    <t>KULTURA</t>
  </si>
  <si>
    <t>TURYSTYKA</t>
  </si>
  <si>
    <t>POMOC SPOŁECZNA</t>
  </si>
  <si>
    <t>DEMOGRAFIA</t>
  </si>
  <si>
    <t>WYDATKI PUBLICZNE</t>
  </si>
  <si>
    <t>RYNEK PRACY</t>
  </si>
  <si>
    <t>GRUPA</t>
  </si>
  <si>
    <t>ZMIENNA</t>
  </si>
  <si>
    <t>OPIS</t>
  </si>
  <si>
    <t>STYMULANTY</t>
  </si>
  <si>
    <t>DESTYMULANTY</t>
  </si>
  <si>
    <t>wszystkie z wyjątkiem 6 i 9</t>
  </si>
  <si>
    <t>DESTYMULANTA</t>
  </si>
  <si>
    <t>WSZYSTKO RAZY *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</si>
</sst>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###0.0_-;\-* ####0.0_-;_-* \-_-;_-@_-"/>
    <numFmt numFmtId="165" formatCode="0.0"/>
    <numFmt numFmtId="166" formatCode="#,##0.0"/>
  </numFmts>
  <fonts count="14" x14ac:knownFonts="1">
    <font>
      <sz val="10"/>
      <name val="Arial"/>
      <family val="2"/>
      <charset val="238"/>
    </font>
    <font>
      <sz val="11"/>
      <name val="Calibri"/>
      <family val="2"/>
      <charset val="238"/>
    </font>
    <font>
      <sz val="9.5"/>
      <name val="Fira Sans"/>
      <family val="2"/>
      <charset val="238"/>
    </font>
    <font>
      <sz val="8"/>
      <name val="Fira Sans"/>
      <family val="2"/>
      <charset val="238"/>
    </font>
    <font>
      <sz val="11"/>
      <color rgb="FF000000"/>
      <name val="Calibri"/>
      <family val="2"/>
      <charset val="238"/>
    </font>
    <font>
      <sz val="11"/>
      <name val="Calibri"/>
      <family val="2"/>
      <charset val="238"/>
    </font>
    <font>
      <b/>
      <sz val="10"/>
      <name val="Arial"/>
      <family val="2"/>
      <charset val="238"/>
    </font>
    <font>
      <b/>
      <sz val="9.5"/>
      <name val="Fira Sans"/>
      <family val="2"/>
      <charset val="238"/>
    </font>
    <font>
      <sz val="10"/>
      <name val="Times New Roman"/>
      <family val="1"/>
      <charset val="238"/>
    </font>
    <font>
      <sz val="11"/>
      <name val="Calibri"/>
      <family val="2"/>
      <charset val="238"/>
    </font>
    <font>
      <sz val="10"/>
      <color rgb="FF000000"/>
      <name val="Arial"/>
      <family val="2"/>
      <charset val="238"/>
    </font>
    <font>
      <sz val="10"/>
      <color theme="0"/>
      <name val="Arial"/>
      <family val="2"/>
      <charset val="238"/>
    </font>
    <font>
      <b/>
      <sz val="10"/>
      <color theme="0"/>
      <name val="Arial"/>
      <family val="2"/>
      <charset val="238"/>
    </font>
    <font>
      <b/>
      <sz val="10"/>
      <color theme="1"/>
      <name val="Arial"/>
      <family val="2"/>
      <charset val="238"/>
    </font>
  </fonts>
  <fills count="1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49" fontId="3" fillId="0" borderId="0" xfId="0" applyNumberFormat="1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0" fillId="0" borderId="0" xfId="0" applyBorder="1"/>
    <xf numFmtId="0" fontId="1" fillId="0" borderId="0" xfId="0" applyFont="1" applyBorder="1"/>
    <xf numFmtId="3" fontId="1" fillId="0" borderId="0" xfId="0" applyNumberFormat="1" applyFont="1" applyBorder="1"/>
    <xf numFmtId="4" fontId="1" fillId="0" borderId="0" xfId="0" applyNumberFormat="1" applyFont="1" applyBorder="1"/>
    <xf numFmtId="164" fontId="0" fillId="0" borderId="0" xfId="0" applyNumberFormat="1" applyBorder="1" applyAlignment="1">
      <alignment horizontal="right"/>
    </xf>
    <xf numFmtId="165" fontId="2" fillId="0" borderId="0" xfId="0" applyNumberFormat="1" applyFont="1" applyBorder="1"/>
    <xf numFmtId="166" fontId="1" fillId="0" borderId="0" xfId="0" applyNumberFormat="1" applyFont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2" borderId="0" xfId="0" applyFill="1" applyBorder="1"/>
    <xf numFmtId="0" fontId="0" fillId="3" borderId="0" xfId="0" applyFill="1" applyBorder="1"/>
    <xf numFmtId="0" fontId="0" fillId="4" borderId="0" xfId="0" applyFill="1" applyBorder="1"/>
    <xf numFmtId="0" fontId="0" fillId="5" borderId="0" xfId="0" applyFill="1" applyBorder="1"/>
    <xf numFmtId="0" fontId="0" fillId="6" borderId="0" xfId="0" applyFill="1" applyBorder="1"/>
    <xf numFmtId="0" fontId="0" fillId="7" borderId="0" xfId="0" applyFill="1" applyBorder="1"/>
    <xf numFmtId="0" fontId="11" fillId="8" borderId="0" xfId="0" applyFont="1" applyFill="1" applyBorder="1"/>
    <xf numFmtId="0" fontId="12" fillId="8" borderId="0" xfId="0" applyFont="1" applyFill="1" applyBorder="1"/>
    <xf numFmtId="0" fontId="13" fillId="9" borderId="0" xfId="0" applyFont="1" applyFill="1" applyBorder="1"/>
    <xf numFmtId="0" fontId="13" fillId="10" borderId="0" xfId="0" applyFont="1" applyFill="1" applyBorder="1"/>
    <xf numFmtId="0" fontId="13" fillId="11" borderId="0" xfId="0" applyFont="1" applyFill="1" applyBorder="1"/>
    <xf numFmtId="0" fontId="13" fillId="12" borderId="0" xfId="0" applyFont="1" applyFill="1" applyBorder="1"/>
    <xf numFmtId="0" fontId="13" fillId="13" borderId="0" xfId="0" applyFont="1" applyFill="1" applyBorder="1"/>
    <xf numFmtId="0" fontId="13" fillId="14" borderId="0" xfId="0" applyFont="1" applyFill="1" applyBorder="1"/>
    <xf numFmtId="0" fontId="0" fillId="3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744071</xdr:colOff>
      <xdr:row>12</xdr:row>
      <xdr:rowOff>143435</xdr:rowOff>
    </xdr:from>
    <xdr:to>
      <xdr:col>9</xdr:col>
      <xdr:colOff>589393</xdr:colOff>
      <xdr:row>25</xdr:row>
      <xdr:rowOff>158874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DBB591C-37F7-8A9D-9EDC-2410E935D0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13577" y="2241176"/>
          <a:ext cx="4740051" cy="23014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0"/>
  <sheetViews>
    <sheetView zoomScale="85" zoomScaleNormal="85" workbookViewId="0">
      <selection activeCell="B2" sqref="B2"/>
    </sheetView>
  </sheetViews>
  <sheetFormatPr defaultColWidth="11.5546875" defaultRowHeight="12.75" customHeight="1" x14ac:dyDescent="0.25"/>
  <cols>
    <col min="1" max="1" width="7.21875" bestFit="1" customWidth="1"/>
    <col min="2" max="2" width="8.88671875" bestFit="1" customWidth="1"/>
    <col min="3" max="3" width="119.109375" bestFit="1" customWidth="1"/>
    <col min="5" max="5" width="2" bestFit="1" customWidth="1"/>
    <col min="6" max="6" width="23.44140625" bestFit="1" customWidth="1"/>
  </cols>
  <sheetData>
    <row r="1" spans="1:11" ht="12.75" customHeight="1" x14ac:dyDescent="0.25">
      <c r="A1" t="s">
        <v>77</v>
      </c>
      <c r="B1" t="s">
        <v>78</v>
      </c>
      <c r="C1" t="s">
        <v>79</v>
      </c>
    </row>
    <row r="2" spans="1:11" ht="13.2" x14ac:dyDescent="0.25">
      <c r="A2">
        <v>1</v>
      </c>
      <c r="B2" t="s">
        <v>0</v>
      </c>
      <c r="C2" t="s">
        <v>41</v>
      </c>
      <c r="E2" s="15">
        <v>1</v>
      </c>
      <c r="F2" s="16" t="s">
        <v>68</v>
      </c>
    </row>
    <row r="3" spans="1:11" ht="14.4" x14ac:dyDescent="0.3">
      <c r="A3">
        <v>1</v>
      </c>
      <c r="B3" t="s">
        <v>1</v>
      </c>
      <c r="C3" s="2" t="s">
        <v>42</v>
      </c>
      <c r="E3" s="17">
        <v>2</v>
      </c>
      <c r="F3" s="18" t="s">
        <v>69</v>
      </c>
    </row>
    <row r="4" spans="1:11" ht="14.4" x14ac:dyDescent="0.3">
      <c r="A4">
        <v>1</v>
      </c>
      <c r="B4" t="s">
        <v>2</v>
      </c>
      <c r="C4" s="2" t="s">
        <v>43</v>
      </c>
      <c r="E4" s="17">
        <v>3</v>
      </c>
      <c r="F4" s="18" t="s">
        <v>70</v>
      </c>
    </row>
    <row r="5" spans="1:11" ht="14.4" x14ac:dyDescent="0.3">
      <c r="A5">
        <v>1</v>
      </c>
      <c r="B5" t="s">
        <v>4</v>
      </c>
      <c r="C5" s="2" t="s">
        <v>45</v>
      </c>
      <c r="E5" s="17">
        <v>4</v>
      </c>
      <c r="F5" s="18" t="s">
        <v>71</v>
      </c>
      <c r="I5" t="s">
        <v>80</v>
      </c>
      <c r="J5" t="s">
        <v>82</v>
      </c>
    </row>
    <row r="6" spans="1:11" ht="14.4" x14ac:dyDescent="0.3">
      <c r="A6">
        <v>2</v>
      </c>
      <c r="B6" t="s">
        <v>3</v>
      </c>
      <c r="C6" s="2" t="s">
        <v>44</v>
      </c>
      <c r="E6" s="17">
        <v>5</v>
      </c>
      <c r="F6" s="18" t="s">
        <v>72</v>
      </c>
      <c r="I6" t="s">
        <v>81</v>
      </c>
      <c r="J6">
        <v>6</v>
      </c>
      <c r="K6">
        <v>9</v>
      </c>
    </row>
    <row r="7" spans="1:11" ht="14.4" x14ac:dyDescent="0.3">
      <c r="A7">
        <v>2</v>
      </c>
      <c r="B7" t="s">
        <v>20</v>
      </c>
      <c r="C7" s="2" t="s">
        <v>61</v>
      </c>
      <c r="E7" s="17">
        <v>6</v>
      </c>
      <c r="F7" s="18" t="s">
        <v>73</v>
      </c>
    </row>
    <row r="8" spans="1:11" ht="13.2" x14ac:dyDescent="0.25">
      <c r="A8">
        <v>3</v>
      </c>
      <c r="B8" t="s">
        <v>10</v>
      </c>
      <c r="C8" t="s">
        <v>51</v>
      </c>
      <c r="E8" s="17">
        <v>7</v>
      </c>
      <c r="F8" s="18" t="s">
        <v>74</v>
      </c>
    </row>
    <row r="9" spans="1:11" ht="13.2" x14ac:dyDescent="0.25">
      <c r="A9">
        <v>3</v>
      </c>
      <c r="B9" t="s">
        <v>11</v>
      </c>
      <c r="C9" s="5" t="s">
        <v>52</v>
      </c>
      <c r="E9" s="17">
        <v>8</v>
      </c>
      <c r="F9" s="18" t="s">
        <v>75</v>
      </c>
    </row>
    <row r="10" spans="1:11" ht="13.2" x14ac:dyDescent="0.25">
      <c r="A10">
        <v>3</v>
      </c>
      <c r="B10" t="s">
        <v>12</v>
      </c>
      <c r="C10" s="5" t="s">
        <v>53</v>
      </c>
      <c r="E10" s="19">
        <v>9</v>
      </c>
      <c r="F10" s="20" t="s">
        <v>76</v>
      </c>
    </row>
    <row r="11" spans="1:11" ht="14.4" x14ac:dyDescent="0.3">
      <c r="A11">
        <v>3</v>
      </c>
      <c r="B11" t="s">
        <v>13</v>
      </c>
      <c r="C11" s="7" t="s">
        <v>54</v>
      </c>
    </row>
    <row r="12" spans="1:11" ht="14.4" x14ac:dyDescent="0.3">
      <c r="A12">
        <v>4</v>
      </c>
      <c r="B12" t="s">
        <v>14</v>
      </c>
      <c r="C12" s="2" t="s">
        <v>55</v>
      </c>
    </row>
    <row r="13" spans="1:11" ht="14.4" x14ac:dyDescent="0.3">
      <c r="A13">
        <v>4</v>
      </c>
      <c r="B13" t="s">
        <v>15</v>
      </c>
      <c r="C13" s="2" t="s">
        <v>56</v>
      </c>
    </row>
    <row r="14" spans="1:11" ht="14.4" x14ac:dyDescent="0.3">
      <c r="A14">
        <v>4</v>
      </c>
      <c r="B14" t="s">
        <v>16</v>
      </c>
      <c r="C14" s="2" t="s">
        <v>57</v>
      </c>
    </row>
    <row r="15" spans="1:11" ht="14.4" x14ac:dyDescent="0.3">
      <c r="A15">
        <v>4</v>
      </c>
      <c r="B15" t="s">
        <v>17</v>
      </c>
      <c r="C15" s="2" t="s">
        <v>58</v>
      </c>
    </row>
    <row r="16" spans="1:11" ht="14.4" x14ac:dyDescent="0.3">
      <c r="A16">
        <v>5</v>
      </c>
      <c r="B16" t="s">
        <v>18</v>
      </c>
      <c r="C16" s="2" t="s">
        <v>59</v>
      </c>
    </row>
    <row r="17" spans="1:6" ht="13.2" x14ac:dyDescent="0.25">
      <c r="A17">
        <v>5</v>
      </c>
      <c r="B17" t="s">
        <v>19</v>
      </c>
      <c r="C17" t="s">
        <v>60</v>
      </c>
    </row>
    <row r="18" spans="1:6" ht="13.2" x14ac:dyDescent="0.25">
      <c r="A18">
        <v>6</v>
      </c>
      <c r="B18" t="s">
        <v>7</v>
      </c>
      <c r="C18" s="4" t="s">
        <v>48</v>
      </c>
    </row>
    <row r="19" spans="1:6" ht="13.2" x14ac:dyDescent="0.25">
      <c r="A19">
        <v>6</v>
      </c>
      <c r="B19" t="s">
        <v>8</v>
      </c>
      <c r="C19" s="5" t="s">
        <v>49</v>
      </c>
    </row>
    <row r="20" spans="1:6" ht="13.2" x14ac:dyDescent="0.25">
      <c r="A20">
        <v>7</v>
      </c>
      <c r="B20" t="s">
        <v>9</v>
      </c>
      <c r="C20" s="6" t="s">
        <v>50</v>
      </c>
    </row>
    <row r="21" spans="1:6" ht="14.4" x14ac:dyDescent="0.3">
      <c r="A21">
        <v>8</v>
      </c>
      <c r="B21" t="s">
        <v>21</v>
      </c>
      <c r="C21" s="2" t="s">
        <v>62</v>
      </c>
    </row>
    <row r="22" spans="1:6" ht="14.4" x14ac:dyDescent="0.3">
      <c r="A22">
        <v>8</v>
      </c>
      <c r="B22" t="s">
        <v>22</v>
      </c>
      <c r="C22" t="s">
        <v>63</v>
      </c>
    </row>
    <row r="23" spans="1:6" ht="14.4" x14ac:dyDescent="0.3">
      <c r="A23">
        <v>8</v>
      </c>
      <c r="B23" t="s">
        <v>23</v>
      </c>
      <c r="C23" t="s">
        <v>64</v>
      </c>
    </row>
    <row r="24" spans="1:6" ht="14.4" x14ac:dyDescent="0.3">
      <c r="A24">
        <v>8</v>
      </c>
      <c r="B24" t="s">
        <v>24</v>
      </c>
      <c r="C24" t="s">
        <v>65</v>
      </c>
    </row>
    <row r="25" spans="1:6" ht="13.2" x14ac:dyDescent="0.25">
      <c r="A25">
        <v>9</v>
      </c>
      <c r="B25" t="s">
        <v>5</v>
      </c>
      <c r="C25" t="s">
        <v>46</v>
      </c>
    </row>
    <row r="26" spans="1:6" ht="14.4" x14ac:dyDescent="0.3">
      <c r="A26">
        <v>9</v>
      </c>
      <c r="B26" t="s">
        <v>6</v>
      </c>
      <c r="C26" s="3" t="s">
        <v>47</v>
      </c>
    </row>
    <row r="30" spans="1:6" ht="12.75" customHeight="1" x14ac:dyDescent="0.25">
      <c r="F30" t="s">
        <v>84</v>
      </c>
    </row>
  </sheetData>
  <autoFilter ref="A2:C26" xr:uid="{00000000-0001-0000-0100-000000000000}">
    <sortState xmlns:xlrd2="http://schemas.microsoft.com/office/spreadsheetml/2017/richdata2" ref="A3:C26">
      <sortCondition ref="A2:A26"/>
    </sortState>
  </autoFilter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Roman,Normalny"&amp;12&amp;A</oddHeader>
    <oddFooter>&amp;C&amp;"Times New Roman,Normalny"&amp;12Page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1"/>
  <sheetViews>
    <sheetView zoomScale="85" zoomScaleNormal="85" workbookViewId="0">
      <selection activeCell="H1" sqref="H1:I1048576"/>
    </sheetView>
  </sheetViews>
  <sheetFormatPr defaultColWidth="11.5546875" defaultRowHeight="12.75" customHeight="1" x14ac:dyDescent="0.25"/>
  <sheetData>
    <row r="1" spans="1:27" ht="13.2" x14ac:dyDescent="0.25">
      <c r="A1" t="s">
        <v>67</v>
      </c>
      <c r="B1" s="8" t="s">
        <v>66</v>
      </c>
      <c r="C1" s="8" t="s">
        <v>0</v>
      </c>
      <c r="D1" s="8" t="s">
        <v>1</v>
      </c>
      <c r="E1" s="8" t="s">
        <v>2</v>
      </c>
      <c r="F1" s="8" t="s">
        <v>3</v>
      </c>
      <c r="G1" s="8" t="s">
        <v>4</v>
      </c>
      <c r="H1" s="8" t="s">
        <v>5</v>
      </c>
      <c r="I1" s="8" t="s">
        <v>6</v>
      </c>
      <c r="J1" s="8" t="s">
        <v>7</v>
      </c>
      <c r="K1" s="8" t="s">
        <v>8</v>
      </c>
      <c r="L1" s="8" t="s">
        <v>9</v>
      </c>
      <c r="M1" s="8" t="s">
        <v>10</v>
      </c>
      <c r="N1" s="8" t="s">
        <v>11</v>
      </c>
      <c r="O1" s="8" t="s">
        <v>12</v>
      </c>
      <c r="P1" s="8" t="s">
        <v>13</v>
      </c>
      <c r="Q1" s="8" t="s">
        <v>14</v>
      </c>
      <c r="R1" s="8" t="s">
        <v>15</v>
      </c>
      <c r="S1" s="8" t="s">
        <v>16</v>
      </c>
      <c r="T1" s="8" t="s">
        <v>17</v>
      </c>
      <c r="U1" s="8" t="s">
        <v>18</v>
      </c>
      <c r="V1" s="8" t="s">
        <v>19</v>
      </c>
      <c r="W1" s="8" t="s">
        <v>20</v>
      </c>
      <c r="X1" s="8" t="s">
        <v>21</v>
      </c>
      <c r="Y1" s="8" t="s">
        <v>22</v>
      </c>
      <c r="Z1" s="8" t="s">
        <v>23</v>
      </c>
      <c r="AA1" s="8" t="s">
        <v>24</v>
      </c>
    </row>
    <row r="2" spans="1:27" ht="14.4" x14ac:dyDescent="0.3">
      <c r="A2">
        <v>1</v>
      </c>
      <c r="B2" s="9" t="s">
        <v>25</v>
      </c>
      <c r="C2" s="10">
        <v>96997</v>
      </c>
      <c r="D2" s="10">
        <v>1589</v>
      </c>
      <c r="E2" s="11">
        <v>598.02</v>
      </c>
      <c r="F2" s="10">
        <v>7651</v>
      </c>
      <c r="G2" s="10">
        <v>112</v>
      </c>
      <c r="H2" s="8">
        <v>4.5999999999999996</v>
      </c>
      <c r="I2" s="11">
        <v>8867.4599999999991</v>
      </c>
      <c r="J2" s="12">
        <v>60</v>
      </c>
      <c r="K2" s="8">
        <v>2.2999999999999998</v>
      </c>
      <c r="L2" s="8">
        <v>463</v>
      </c>
      <c r="M2" s="13">
        <v>12.2</v>
      </c>
      <c r="N2" s="13">
        <v>55.7</v>
      </c>
      <c r="O2" s="13">
        <v>10.7</v>
      </c>
      <c r="P2" s="13">
        <v>39.200000000000003</v>
      </c>
      <c r="Q2" s="10">
        <v>4</v>
      </c>
      <c r="R2" s="14">
        <v>4.5</v>
      </c>
      <c r="S2" s="14">
        <v>2833.3</v>
      </c>
      <c r="T2" s="14">
        <v>2</v>
      </c>
      <c r="U2" s="10">
        <v>39160</v>
      </c>
      <c r="V2" s="11">
        <v>29.87</v>
      </c>
      <c r="W2" s="11">
        <v>1637.75</v>
      </c>
      <c r="X2" s="11">
        <v>17.77</v>
      </c>
      <c r="Y2" s="11">
        <v>3147.59</v>
      </c>
      <c r="Z2" s="11">
        <v>399.79</v>
      </c>
      <c r="AA2" s="8">
        <v>9518.94</v>
      </c>
    </row>
    <row r="3" spans="1:27" ht="14.4" x14ac:dyDescent="0.3">
      <c r="A3">
        <v>2</v>
      </c>
      <c r="B3" s="9" t="s">
        <v>26</v>
      </c>
      <c r="C3" s="10">
        <v>72843</v>
      </c>
      <c r="D3" s="10">
        <v>1159</v>
      </c>
      <c r="E3" s="11">
        <v>451.11</v>
      </c>
      <c r="F3" s="10">
        <v>5351</v>
      </c>
      <c r="G3" s="10">
        <v>85</v>
      </c>
      <c r="H3" s="8">
        <v>7.3</v>
      </c>
      <c r="I3" s="11">
        <v>7710.78</v>
      </c>
      <c r="J3" s="12">
        <v>59.2</v>
      </c>
      <c r="K3" s="8">
        <v>4.5999999999999996</v>
      </c>
      <c r="L3" s="8">
        <v>413</v>
      </c>
      <c r="M3" s="13">
        <v>13.7</v>
      </c>
      <c r="N3" s="13">
        <v>55.1</v>
      </c>
      <c r="O3" s="13">
        <v>6.4</v>
      </c>
      <c r="P3" s="13">
        <v>31.5</v>
      </c>
      <c r="Q3" s="10">
        <v>4</v>
      </c>
      <c r="R3" s="14">
        <v>3.4</v>
      </c>
      <c r="S3" s="14">
        <v>3430.9</v>
      </c>
      <c r="T3" s="14">
        <v>1.9</v>
      </c>
      <c r="U3" s="10">
        <v>23742</v>
      </c>
      <c r="V3" s="11">
        <v>16.53</v>
      </c>
      <c r="W3" s="11">
        <v>1559.66</v>
      </c>
      <c r="X3" s="11">
        <v>22.59</v>
      </c>
      <c r="Y3" s="11">
        <v>3101.1</v>
      </c>
      <c r="Z3" s="11">
        <v>310.76</v>
      </c>
      <c r="AA3" s="8">
        <v>8891.49</v>
      </c>
    </row>
    <row r="4" spans="1:27" ht="14.4" x14ac:dyDescent="0.3">
      <c r="A4">
        <v>3</v>
      </c>
      <c r="B4" s="9" t="s">
        <v>27</v>
      </c>
      <c r="C4" s="10">
        <v>62534</v>
      </c>
      <c r="D4" s="10">
        <v>1084</v>
      </c>
      <c r="E4" s="11">
        <v>340.55</v>
      </c>
      <c r="F4" s="10">
        <v>3706</v>
      </c>
      <c r="G4" s="10">
        <v>76</v>
      </c>
      <c r="H4" s="8">
        <v>7.4</v>
      </c>
      <c r="I4" s="11">
        <v>7771.05</v>
      </c>
      <c r="J4" s="12">
        <v>56.7</v>
      </c>
      <c r="K4" s="8">
        <v>3.5</v>
      </c>
      <c r="L4" s="8">
        <v>413</v>
      </c>
      <c r="M4" s="13">
        <v>16.7</v>
      </c>
      <c r="N4" s="13">
        <v>68.400000000000006</v>
      </c>
      <c r="O4" s="13">
        <v>10.6</v>
      </c>
      <c r="P4" s="13">
        <v>38.9</v>
      </c>
      <c r="Q4" s="10">
        <v>2</v>
      </c>
      <c r="R4" s="14">
        <v>2.9</v>
      </c>
      <c r="S4" s="14">
        <v>3289.6</v>
      </c>
      <c r="T4" s="14">
        <v>2.8</v>
      </c>
      <c r="U4" s="10">
        <v>11892</v>
      </c>
      <c r="V4" s="11">
        <v>13.52</v>
      </c>
      <c r="W4" s="11">
        <v>1819.42</v>
      </c>
      <c r="X4" s="11">
        <v>22.44</v>
      </c>
      <c r="Y4" s="11">
        <v>3193.55</v>
      </c>
      <c r="Z4" s="11">
        <v>318.47000000000003</v>
      </c>
      <c r="AA4" s="8">
        <v>8459.0400000000009</v>
      </c>
    </row>
    <row r="5" spans="1:27" ht="14.4" x14ac:dyDescent="0.3">
      <c r="A5">
        <v>4</v>
      </c>
      <c r="B5" s="9" t="s">
        <v>28</v>
      </c>
      <c r="C5" s="10">
        <v>72438</v>
      </c>
      <c r="D5" s="10">
        <v>1386</v>
      </c>
      <c r="E5" s="11">
        <v>472.11</v>
      </c>
      <c r="F5" s="10">
        <v>6013</v>
      </c>
      <c r="G5" s="10">
        <v>102</v>
      </c>
      <c r="H5" s="8">
        <v>4.5</v>
      </c>
      <c r="I5" s="11">
        <v>7887.19</v>
      </c>
      <c r="J5" s="12">
        <v>56.6</v>
      </c>
      <c r="K5" s="8">
        <v>3.4</v>
      </c>
      <c r="L5" s="8">
        <v>425</v>
      </c>
      <c r="M5" s="13">
        <v>10.7</v>
      </c>
      <c r="N5" s="13">
        <v>47</v>
      </c>
      <c r="O5" s="13">
        <v>7.9</v>
      </c>
      <c r="P5" s="13">
        <v>25</v>
      </c>
      <c r="Q5" s="10">
        <v>3</v>
      </c>
      <c r="R5" s="14">
        <v>4.4000000000000004</v>
      </c>
      <c r="S5" s="14">
        <v>3923</v>
      </c>
      <c r="T5" s="14">
        <v>2.4</v>
      </c>
      <c r="U5" s="10">
        <v>15088</v>
      </c>
      <c r="V5" s="11">
        <v>18.440000000000001</v>
      </c>
      <c r="W5" s="11">
        <v>1753.55</v>
      </c>
      <c r="X5" s="11">
        <v>8.8000000000000007</v>
      </c>
      <c r="Y5" s="11">
        <v>3110.36</v>
      </c>
      <c r="Z5" s="11">
        <v>330.59</v>
      </c>
      <c r="AA5" s="8">
        <v>8923.2000000000007</v>
      </c>
    </row>
    <row r="6" spans="1:27" ht="14.4" x14ac:dyDescent="0.3">
      <c r="A6">
        <v>5</v>
      </c>
      <c r="B6" s="9" t="s">
        <v>29</v>
      </c>
      <c r="C6" s="10">
        <v>86151</v>
      </c>
      <c r="D6" s="10">
        <v>1236</v>
      </c>
      <c r="E6" s="11">
        <v>487.43</v>
      </c>
      <c r="F6" s="10">
        <v>5286</v>
      </c>
      <c r="G6" s="10">
        <v>85</v>
      </c>
      <c r="H6" s="8">
        <v>5.4</v>
      </c>
      <c r="I6" s="11">
        <v>8096.32</v>
      </c>
      <c r="J6" s="12">
        <v>56.1</v>
      </c>
      <c r="K6" s="8">
        <v>3.1</v>
      </c>
      <c r="L6" s="8">
        <v>461</v>
      </c>
      <c r="M6" s="13">
        <v>16.7</v>
      </c>
      <c r="N6" s="13">
        <v>55.5</v>
      </c>
      <c r="O6" s="13">
        <v>11.6</v>
      </c>
      <c r="P6" s="13">
        <v>43.1</v>
      </c>
      <c r="Q6" s="10">
        <v>3</v>
      </c>
      <c r="R6" s="14">
        <v>4.9000000000000004</v>
      </c>
      <c r="S6" s="14">
        <v>3312.6</v>
      </c>
      <c r="T6" s="14">
        <v>1.9</v>
      </c>
      <c r="U6" s="10">
        <v>10905</v>
      </c>
      <c r="V6" s="11">
        <v>9.9499999999999993</v>
      </c>
      <c r="W6" s="11">
        <v>1754.42</v>
      </c>
      <c r="X6" s="11">
        <v>20.72</v>
      </c>
      <c r="Y6" s="11">
        <v>2940.9</v>
      </c>
      <c r="Z6" s="11">
        <v>319.74</v>
      </c>
      <c r="AA6" s="8">
        <v>9046.44</v>
      </c>
    </row>
    <row r="7" spans="1:27" ht="14.4" x14ac:dyDescent="0.3">
      <c r="A7">
        <v>6</v>
      </c>
      <c r="B7" s="9" t="s">
        <v>30</v>
      </c>
      <c r="C7" s="10">
        <v>80976</v>
      </c>
      <c r="D7" s="10">
        <v>1456</v>
      </c>
      <c r="E7" s="11">
        <v>540.98</v>
      </c>
      <c r="F7" s="10">
        <v>4945</v>
      </c>
      <c r="G7" s="10">
        <v>109</v>
      </c>
      <c r="H7" s="8">
        <v>4.0999999999999996</v>
      </c>
      <c r="I7" s="11">
        <v>8818.7099999999991</v>
      </c>
      <c r="J7" s="12">
        <v>59.3</v>
      </c>
      <c r="K7" s="8">
        <v>2.7</v>
      </c>
      <c r="L7" s="8">
        <v>398</v>
      </c>
      <c r="M7" s="13">
        <v>14.8</v>
      </c>
      <c r="N7" s="13">
        <v>57.1</v>
      </c>
      <c r="O7" s="13">
        <v>9.8000000000000007</v>
      </c>
      <c r="P7" s="13">
        <v>37.1</v>
      </c>
      <c r="Q7" s="10">
        <v>7</v>
      </c>
      <c r="R7" s="14">
        <v>4.5999999999999996</v>
      </c>
      <c r="S7" s="14">
        <v>3337.4</v>
      </c>
      <c r="T7" s="14">
        <v>2.1</v>
      </c>
      <c r="U7" s="10">
        <v>45212</v>
      </c>
      <c r="V7" s="11">
        <v>30.18</v>
      </c>
      <c r="W7" s="11">
        <v>1425.3</v>
      </c>
      <c r="X7" s="11">
        <v>32.51</v>
      </c>
      <c r="Y7" s="11">
        <v>3323.19</v>
      </c>
      <c r="Z7" s="11">
        <v>346.86</v>
      </c>
      <c r="AA7" s="8">
        <v>8723.18</v>
      </c>
    </row>
    <row r="8" spans="1:27" ht="14.4" x14ac:dyDescent="0.3">
      <c r="A8">
        <v>7</v>
      </c>
      <c r="B8" s="9" t="s">
        <v>31</v>
      </c>
      <c r="C8" s="10">
        <v>142761</v>
      </c>
      <c r="D8" s="10">
        <v>1911</v>
      </c>
      <c r="E8" s="11">
        <v>1077.07</v>
      </c>
      <c r="F8" s="10">
        <v>13687</v>
      </c>
      <c r="G8" s="10">
        <v>144</v>
      </c>
      <c r="H8" s="8">
        <v>4</v>
      </c>
      <c r="I8" s="11">
        <v>10018.709999999999</v>
      </c>
      <c r="J8" s="12">
        <v>63.3</v>
      </c>
      <c r="K8" s="8">
        <v>2.5</v>
      </c>
      <c r="L8" s="8">
        <v>464.8</v>
      </c>
      <c r="M8" s="13">
        <v>16.3</v>
      </c>
      <c r="N8" s="13">
        <v>63.6</v>
      </c>
      <c r="O8" s="13">
        <v>12.2</v>
      </c>
      <c r="P8" s="13">
        <v>52.2</v>
      </c>
      <c r="Q8" s="10">
        <v>7</v>
      </c>
      <c r="R8" s="14">
        <v>5.7</v>
      </c>
      <c r="S8" s="14">
        <v>3191.5</v>
      </c>
      <c r="T8" s="14">
        <v>1.7</v>
      </c>
      <c r="U8" s="10">
        <v>20224</v>
      </c>
      <c r="V8" s="11">
        <v>13.09</v>
      </c>
      <c r="W8" s="11">
        <v>1713.91</v>
      </c>
      <c r="X8" s="11">
        <v>18.489999999999998</v>
      </c>
      <c r="Y8" s="11">
        <v>3819.62</v>
      </c>
      <c r="Z8" s="11">
        <v>393.91</v>
      </c>
      <c r="AA8" s="8">
        <v>10843.21</v>
      </c>
    </row>
    <row r="9" spans="1:27" ht="14.4" x14ac:dyDescent="0.3">
      <c r="A9">
        <v>8</v>
      </c>
      <c r="B9" s="9" t="s">
        <v>32</v>
      </c>
      <c r="C9" s="10">
        <v>72963</v>
      </c>
      <c r="D9" s="10">
        <v>1232</v>
      </c>
      <c r="E9" s="11">
        <v>469.91</v>
      </c>
      <c r="F9" s="10">
        <v>7197</v>
      </c>
      <c r="G9" s="10">
        <v>71</v>
      </c>
      <c r="H9" s="8">
        <v>5.9</v>
      </c>
      <c r="I9" s="11">
        <v>7958.35</v>
      </c>
      <c r="J9" s="12">
        <v>59.5</v>
      </c>
      <c r="K9" s="8">
        <v>2.9</v>
      </c>
      <c r="L9" s="8">
        <v>398</v>
      </c>
      <c r="M9" s="13">
        <v>12.9</v>
      </c>
      <c r="N9" s="13">
        <v>55.4</v>
      </c>
      <c r="O9" s="13">
        <v>7.2</v>
      </c>
      <c r="P9" s="13">
        <v>25.7</v>
      </c>
      <c r="Q9" s="10">
        <v>3</v>
      </c>
      <c r="R9" s="14">
        <v>5</v>
      </c>
      <c r="S9" s="14">
        <v>3935</v>
      </c>
      <c r="T9" s="14">
        <v>3.2</v>
      </c>
      <c r="U9" s="10">
        <v>8273</v>
      </c>
      <c r="V9" s="11">
        <v>8.4600000000000009</v>
      </c>
      <c r="W9" s="11">
        <v>1417.39</v>
      </c>
      <c r="X9" s="11">
        <v>14.94</v>
      </c>
      <c r="Y9" s="11">
        <v>3039.54</v>
      </c>
      <c r="Z9" s="11">
        <v>337.92</v>
      </c>
      <c r="AA9" s="8">
        <v>8618.2900000000009</v>
      </c>
    </row>
    <row r="10" spans="1:27" ht="14.4" x14ac:dyDescent="0.3">
      <c r="A10">
        <v>9</v>
      </c>
      <c r="B10" s="9" t="s">
        <v>33</v>
      </c>
      <c r="C10" s="10">
        <v>64987</v>
      </c>
      <c r="D10" s="10">
        <v>1038</v>
      </c>
      <c r="E10" s="11">
        <v>473.35</v>
      </c>
      <c r="F10" s="10">
        <v>4557</v>
      </c>
      <c r="G10" s="10">
        <v>73</v>
      </c>
      <c r="H10" s="8">
        <v>8.6999999999999993</v>
      </c>
      <c r="I10" s="11">
        <v>7514.69</v>
      </c>
      <c r="J10" s="12">
        <v>52.7</v>
      </c>
      <c r="K10" s="8">
        <v>4</v>
      </c>
      <c r="L10" s="8">
        <v>353</v>
      </c>
      <c r="M10" s="13">
        <v>16.8</v>
      </c>
      <c r="N10" s="13">
        <v>65</v>
      </c>
      <c r="O10" s="13">
        <v>8.1999999999999993</v>
      </c>
      <c r="P10" s="13">
        <v>28.6</v>
      </c>
      <c r="Q10" s="10">
        <v>4</v>
      </c>
      <c r="R10" s="14">
        <v>3.8</v>
      </c>
      <c r="S10" s="14">
        <v>4132.2</v>
      </c>
      <c r="T10" s="14">
        <v>3.2</v>
      </c>
      <c r="U10" s="10">
        <v>17270</v>
      </c>
      <c r="V10" s="11">
        <v>16.739999999999998</v>
      </c>
      <c r="W10" s="11">
        <v>1885.43</v>
      </c>
      <c r="X10" s="11">
        <v>19.25</v>
      </c>
      <c r="Y10" s="11">
        <v>3121.56</v>
      </c>
      <c r="Z10" s="11">
        <v>307.3</v>
      </c>
      <c r="AA10" s="8">
        <v>8554.35</v>
      </c>
    </row>
    <row r="11" spans="1:27" ht="14.4" x14ac:dyDescent="0.3">
      <c r="A11">
        <v>10</v>
      </c>
      <c r="B11" s="9" t="s">
        <v>34</v>
      </c>
      <c r="C11" s="10">
        <v>70079</v>
      </c>
      <c r="D11" s="10">
        <v>1093</v>
      </c>
      <c r="E11" s="11">
        <v>397.31</v>
      </c>
      <c r="F11" s="10">
        <v>3702</v>
      </c>
      <c r="G11" s="10">
        <v>76</v>
      </c>
      <c r="H11" s="8">
        <v>7</v>
      </c>
      <c r="I11" s="11">
        <v>7850.16</v>
      </c>
      <c r="J11" s="12">
        <v>56.1</v>
      </c>
      <c r="K11" s="8">
        <v>4.3</v>
      </c>
      <c r="L11" s="8">
        <v>425</v>
      </c>
      <c r="M11" s="13">
        <v>16.8</v>
      </c>
      <c r="N11" s="13">
        <v>63.2</v>
      </c>
      <c r="O11" s="13">
        <v>11.1</v>
      </c>
      <c r="P11" s="13">
        <v>41.4</v>
      </c>
      <c r="Q11" s="10">
        <v>4</v>
      </c>
      <c r="R11" s="14">
        <v>3.7</v>
      </c>
      <c r="S11" s="14">
        <v>4311.1000000000004</v>
      </c>
      <c r="T11" s="14">
        <v>2</v>
      </c>
      <c r="U11" s="10">
        <v>11274</v>
      </c>
      <c r="V11" s="11">
        <v>12.73</v>
      </c>
      <c r="W11" s="11">
        <v>2219.9899999999998</v>
      </c>
      <c r="X11" s="11">
        <v>22.95</v>
      </c>
      <c r="Y11" s="11">
        <v>3355.05</v>
      </c>
      <c r="Z11" s="11">
        <v>336.86</v>
      </c>
      <c r="AA11" s="8">
        <v>9329.51</v>
      </c>
    </row>
    <row r="12" spans="1:27" ht="14.4" x14ac:dyDescent="0.3">
      <c r="A12">
        <v>11</v>
      </c>
      <c r="B12" s="9" t="s">
        <v>35</v>
      </c>
      <c r="C12" s="10">
        <v>86643</v>
      </c>
      <c r="D12" s="10">
        <v>1567</v>
      </c>
      <c r="E12" s="11">
        <v>601.32000000000005</v>
      </c>
      <c r="F12" s="10">
        <v>7456</v>
      </c>
      <c r="G12" s="10">
        <v>121</v>
      </c>
      <c r="H12" s="8">
        <v>4.5999999999999996</v>
      </c>
      <c r="I12" s="11">
        <v>8620.2800000000007</v>
      </c>
      <c r="J12" s="12">
        <v>60.1</v>
      </c>
      <c r="K12" s="8">
        <v>3.3</v>
      </c>
      <c r="L12" s="8">
        <v>425</v>
      </c>
      <c r="M12" s="13">
        <v>12</v>
      </c>
      <c r="N12" s="13">
        <v>45.8</v>
      </c>
      <c r="O12" s="13">
        <v>10.1</v>
      </c>
      <c r="P12" s="13">
        <v>36.799999999999997</v>
      </c>
      <c r="Q12" s="10">
        <v>4</v>
      </c>
      <c r="R12" s="14">
        <v>5.4</v>
      </c>
      <c r="S12" s="14">
        <v>2087.9</v>
      </c>
      <c r="T12" s="14">
        <v>1.3</v>
      </c>
      <c r="U12" s="10">
        <v>46251</v>
      </c>
      <c r="V12" s="11">
        <v>49.07</v>
      </c>
      <c r="W12" s="11">
        <v>1400.22</v>
      </c>
      <c r="X12" s="11">
        <v>10.86</v>
      </c>
      <c r="Y12" s="11">
        <v>3362.2</v>
      </c>
      <c r="Z12" s="11">
        <v>299.87</v>
      </c>
      <c r="AA12" s="8">
        <v>9257.75</v>
      </c>
    </row>
    <row r="13" spans="1:27" ht="14.4" x14ac:dyDescent="0.3">
      <c r="A13">
        <v>12</v>
      </c>
      <c r="B13" s="9" t="s">
        <v>36</v>
      </c>
      <c r="C13" s="10">
        <v>93591</v>
      </c>
      <c r="D13" s="10">
        <v>1271</v>
      </c>
      <c r="E13" s="11">
        <v>540.98</v>
      </c>
      <c r="F13" s="10">
        <v>7615</v>
      </c>
      <c r="G13" s="10">
        <v>82</v>
      </c>
      <c r="H13" s="8">
        <v>3.6</v>
      </c>
      <c r="I13" s="11">
        <v>8537.5400000000009</v>
      </c>
      <c r="J13" s="12">
        <v>55.9</v>
      </c>
      <c r="K13" s="8">
        <v>2.2000000000000002</v>
      </c>
      <c r="L13" s="8">
        <v>445</v>
      </c>
      <c r="M13" s="13">
        <v>14.2</v>
      </c>
      <c r="N13" s="13">
        <v>60.9</v>
      </c>
      <c r="O13" s="13">
        <v>9.3000000000000007</v>
      </c>
      <c r="P13" s="13">
        <v>38.299999999999997</v>
      </c>
      <c r="Q13" s="10">
        <v>4</v>
      </c>
      <c r="R13" s="14">
        <v>5.5</v>
      </c>
      <c r="S13" s="14">
        <v>3478.7</v>
      </c>
      <c r="T13" s="14">
        <v>1.7</v>
      </c>
      <c r="U13" s="10">
        <v>14305</v>
      </c>
      <c r="V13" s="11">
        <v>11.24</v>
      </c>
      <c r="W13" s="11">
        <v>1279.55</v>
      </c>
      <c r="X13" s="11">
        <v>24.06</v>
      </c>
      <c r="Y13" s="11">
        <v>3402.3</v>
      </c>
      <c r="Z13" s="11">
        <v>270.11</v>
      </c>
      <c r="AA13" s="8">
        <v>8987.23</v>
      </c>
    </row>
    <row r="14" spans="1:27" ht="14.4" x14ac:dyDescent="0.3">
      <c r="A14">
        <v>13</v>
      </c>
      <c r="B14" s="9" t="s">
        <v>37</v>
      </c>
      <c r="C14" s="10">
        <v>67847</v>
      </c>
      <c r="D14" s="10">
        <v>1140</v>
      </c>
      <c r="E14" s="11">
        <v>389.77</v>
      </c>
      <c r="F14" s="10">
        <v>3908</v>
      </c>
      <c r="G14" s="10">
        <v>76</v>
      </c>
      <c r="H14" s="8">
        <v>7.6</v>
      </c>
      <c r="I14" s="11">
        <v>7664.18</v>
      </c>
      <c r="J14" s="12">
        <v>55.5</v>
      </c>
      <c r="K14" s="8">
        <v>4.3</v>
      </c>
      <c r="L14" s="8">
        <v>398</v>
      </c>
      <c r="M14" s="13">
        <v>16</v>
      </c>
      <c r="N14" s="13">
        <v>70.2</v>
      </c>
      <c r="O14" s="13">
        <v>8.6999999999999993</v>
      </c>
      <c r="P14" s="13">
        <v>32.200000000000003</v>
      </c>
      <c r="Q14" s="10">
        <v>3</v>
      </c>
      <c r="R14" s="14">
        <v>3.2</v>
      </c>
      <c r="S14" s="14">
        <v>3657</v>
      </c>
      <c r="T14" s="14">
        <v>2.2000000000000002</v>
      </c>
      <c r="U14" s="10">
        <v>17580</v>
      </c>
      <c r="V14" s="11">
        <v>16.579999999999998</v>
      </c>
      <c r="W14" s="11">
        <v>1567.54</v>
      </c>
      <c r="X14" s="11">
        <v>22.42</v>
      </c>
      <c r="Y14" s="11">
        <v>2768.03</v>
      </c>
      <c r="Z14" s="11">
        <v>310.55</v>
      </c>
      <c r="AA14" s="8">
        <v>8239.69</v>
      </c>
    </row>
    <row r="15" spans="1:27" ht="14.4" x14ac:dyDescent="0.3">
      <c r="A15">
        <v>14</v>
      </c>
      <c r="B15" s="9" t="s">
        <v>38</v>
      </c>
      <c r="C15" s="10">
        <v>64077</v>
      </c>
      <c r="D15" s="10">
        <v>1113</v>
      </c>
      <c r="E15" s="11">
        <v>332.28</v>
      </c>
      <c r="F15" s="10">
        <v>3862</v>
      </c>
      <c r="G15" s="10">
        <v>78</v>
      </c>
      <c r="H15" s="8">
        <v>8.4</v>
      </c>
      <c r="I15" s="11">
        <v>7529.41</v>
      </c>
      <c r="J15" s="12">
        <v>54.3</v>
      </c>
      <c r="K15" s="8">
        <v>5.2</v>
      </c>
      <c r="L15" s="8">
        <v>413</v>
      </c>
      <c r="M15" s="13">
        <v>12.2</v>
      </c>
      <c r="N15" s="13">
        <v>53</v>
      </c>
      <c r="O15" s="13">
        <v>7.1</v>
      </c>
      <c r="P15" s="13">
        <v>26.4</v>
      </c>
      <c r="Q15" s="10">
        <v>3</v>
      </c>
      <c r="R15" s="14">
        <v>4.5</v>
      </c>
      <c r="S15" s="14">
        <v>2839.2</v>
      </c>
      <c r="T15" s="14">
        <v>2.1</v>
      </c>
      <c r="U15" s="10">
        <v>25723</v>
      </c>
      <c r="V15" s="11">
        <v>30.84</v>
      </c>
      <c r="W15" s="11">
        <v>1575.65</v>
      </c>
      <c r="X15" s="11">
        <v>11.33</v>
      </c>
      <c r="Y15" s="11">
        <v>2872.77</v>
      </c>
      <c r="Z15" s="11">
        <v>331.08</v>
      </c>
      <c r="AA15" s="8">
        <v>8375.73</v>
      </c>
    </row>
    <row r="16" spans="1:27" ht="14.4" x14ac:dyDescent="0.3">
      <c r="A16">
        <v>15</v>
      </c>
      <c r="B16" s="9" t="s">
        <v>39</v>
      </c>
      <c r="C16" s="10">
        <v>95104</v>
      </c>
      <c r="D16" s="10">
        <v>1491</v>
      </c>
      <c r="E16" s="11">
        <v>596.51</v>
      </c>
      <c r="F16" s="10">
        <v>6894</v>
      </c>
      <c r="G16" s="10">
        <v>105</v>
      </c>
      <c r="H16" s="8">
        <v>2.9</v>
      </c>
      <c r="I16" s="11">
        <v>7759.22</v>
      </c>
      <c r="J16" s="12">
        <v>59.9</v>
      </c>
      <c r="K16" s="8">
        <v>3</v>
      </c>
      <c r="L16" s="8">
        <v>398</v>
      </c>
      <c r="M16" s="13">
        <v>15.4</v>
      </c>
      <c r="N16" s="13">
        <v>48</v>
      </c>
      <c r="O16" s="13">
        <v>8.8000000000000007</v>
      </c>
      <c r="P16" s="13">
        <v>30.7</v>
      </c>
      <c r="Q16" s="10">
        <v>3</v>
      </c>
      <c r="R16" s="14">
        <v>4.0999999999999996</v>
      </c>
      <c r="S16" s="14">
        <v>3278.7</v>
      </c>
      <c r="T16" s="14">
        <v>1.8</v>
      </c>
      <c r="U16" s="10">
        <v>11057</v>
      </c>
      <c r="V16" s="11">
        <v>11.66</v>
      </c>
      <c r="W16" s="11">
        <v>1557.5</v>
      </c>
      <c r="X16" s="11">
        <v>21.1</v>
      </c>
      <c r="Y16" s="11">
        <v>3345.34</v>
      </c>
      <c r="Z16" s="11">
        <v>304.82</v>
      </c>
      <c r="AA16" s="8">
        <v>8604.0400000000009</v>
      </c>
    </row>
    <row r="17" spans="1:27" ht="14.4" x14ac:dyDescent="0.3">
      <c r="A17">
        <v>16</v>
      </c>
      <c r="B17" s="9" t="s">
        <v>40</v>
      </c>
      <c r="C17" s="10">
        <v>74398</v>
      </c>
      <c r="D17" s="10">
        <v>1572</v>
      </c>
      <c r="E17" s="11">
        <v>490.3</v>
      </c>
      <c r="F17" s="10">
        <v>5331</v>
      </c>
      <c r="G17" s="10">
        <v>104</v>
      </c>
      <c r="H17" s="8">
        <v>6.8</v>
      </c>
      <c r="I17" s="11">
        <v>8027.37</v>
      </c>
      <c r="J17" s="12">
        <v>58.1</v>
      </c>
      <c r="K17" s="8">
        <v>3.3</v>
      </c>
      <c r="L17" s="8">
        <v>445</v>
      </c>
      <c r="M17" s="13">
        <v>12.6</v>
      </c>
      <c r="N17" s="13">
        <v>48.1</v>
      </c>
      <c r="O17" s="13">
        <v>10.7</v>
      </c>
      <c r="P17" s="13">
        <v>34</v>
      </c>
      <c r="Q17" s="10">
        <v>3</v>
      </c>
      <c r="R17" s="14">
        <v>6</v>
      </c>
      <c r="S17" s="14">
        <v>3632.9</v>
      </c>
      <c r="T17" s="14">
        <v>2.1</v>
      </c>
      <c r="U17" s="10">
        <v>101574</v>
      </c>
      <c r="V17" s="11">
        <v>94.5</v>
      </c>
      <c r="W17" s="11">
        <v>1655.63</v>
      </c>
      <c r="X17" s="11">
        <v>9.8000000000000007</v>
      </c>
      <c r="Y17" s="11">
        <v>2901.72</v>
      </c>
      <c r="Z17" s="11">
        <v>359.04</v>
      </c>
      <c r="AA17" s="8">
        <v>9044.31</v>
      </c>
    </row>
    <row r="26" spans="1:27" ht="13.2" x14ac:dyDescent="0.25">
      <c r="D26" s="1"/>
    </row>
    <row r="27" spans="1:27" ht="13.2" x14ac:dyDescent="0.25">
      <c r="D27" s="1"/>
    </row>
    <row r="28" spans="1:27" ht="13.2" x14ac:dyDescent="0.25">
      <c r="D28" s="1"/>
    </row>
    <row r="29" spans="1:27" ht="13.2" x14ac:dyDescent="0.25">
      <c r="D29" s="1"/>
    </row>
    <row r="30" spans="1:27" ht="13.2" x14ac:dyDescent="0.25">
      <c r="D30" s="1"/>
    </row>
    <row r="31" spans="1:27" ht="13.2" x14ac:dyDescent="0.25">
      <c r="D31" s="1"/>
    </row>
    <row r="32" spans="1:27" ht="13.2" x14ac:dyDescent="0.25">
      <c r="D32" s="1"/>
    </row>
    <row r="33" spans="4:4" ht="13.2" x14ac:dyDescent="0.25">
      <c r="D33" s="1"/>
    </row>
    <row r="34" spans="4:4" ht="13.2" x14ac:dyDescent="0.25">
      <c r="D34" s="1"/>
    </row>
    <row r="35" spans="4:4" ht="13.2" x14ac:dyDescent="0.25">
      <c r="D35" s="1"/>
    </row>
    <row r="36" spans="4:4" ht="13.2" x14ac:dyDescent="0.25">
      <c r="D36" s="1"/>
    </row>
    <row r="37" spans="4:4" ht="13.2" x14ac:dyDescent="0.25">
      <c r="D37" s="1"/>
    </row>
    <row r="38" spans="4:4" ht="13.2" x14ac:dyDescent="0.25">
      <c r="D38" s="1"/>
    </row>
    <row r="39" spans="4:4" ht="13.2" x14ac:dyDescent="0.25">
      <c r="D39" s="1"/>
    </row>
    <row r="40" spans="4:4" ht="13.2" x14ac:dyDescent="0.25">
      <c r="D40" s="1"/>
    </row>
    <row r="41" spans="4:4" ht="13.2" x14ac:dyDescent="0.25">
      <c r="D41" s="1"/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Roman,Normalny"&amp;12&amp;A</oddHeader>
    <oddFooter>&amp;C&amp;"Times New Roman,Normalny"&amp;12Page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05BD3-9436-4CD3-900D-4BFDBBE021A4}">
  <dimension ref="A1:AA55"/>
  <sheetViews>
    <sheetView tabSelected="1" workbookViewId="0">
      <selection activeCell="B17" sqref="B8:H17"/>
    </sheetView>
  </sheetViews>
  <sheetFormatPr defaultRowHeight="13.2" x14ac:dyDescent="0.25"/>
  <cols>
    <col min="1" max="1" width="3" bestFit="1" customWidth="1"/>
    <col min="2" max="2" width="23.6640625" bestFit="1" customWidth="1"/>
    <col min="3" max="27" width="12.6640625" bestFit="1" customWidth="1"/>
  </cols>
  <sheetData>
    <row r="1" spans="1:27" x14ac:dyDescent="0.25">
      <c r="A1" s="28" t="s">
        <v>67</v>
      </c>
      <c r="B1" s="28" t="s">
        <v>66</v>
      </c>
      <c r="C1" s="29" t="s">
        <v>0</v>
      </c>
      <c r="D1" s="29" t="s">
        <v>1</v>
      </c>
      <c r="E1" s="29" t="s">
        <v>2</v>
      </c>
      <c r="F1" s="29" t="s">
        <v>4</v>
      </c>
      <c r="G1" s="30" t="s">
        <v>3</v>
      </c>
      <c r="H1" s="30" t="s">
        <v>20</v>
      </c>
      <c r="I1" s="31" t="s">
        <v>10</v>
      </c>
      <c r="J1" s="31" t="s">
        <v>11</v>
      </c>
      <c r="K1" s="31" t="s">
        <v>12</v>
      </c>
      <c r="L1" s="31" t="s">
        <v>13</v>
      </c>
      <c r="M1" s="32" t="s">
        <v>14</v>
      </c>
      <c r="N1" s="32" t="s">
        <v>15</v>
      </c>
      <c r="O1" s="32" t="s">
        <v>16</v>
      </c>
      <c r="P1" s="32" t="s">
        <v>17</v>
      </c>
      <c r="Q1" s="33" t="s">
        <v>18</v>
      </c>
      <c r="R1" s="33" t="s">
        <v>19</v>
      </c>
      <c r="S1" s="34" t="s">
        <v>7</v>
      </c>
      <c r="T1" s="34" t="s">
        <v>8</v>
      </c>
      <c r="U1" s="29" t="s">
        <v>9</v>
      </c>
      <c r="V1" s="30" t="s">
        <v>21</v>
      </c>
      <c r="W1" s="30" t="s">
        <v>22</v>
      </c>
      <c r="X1" s="30" t="s">
        <v>23</v>
      </c>
      <c r="Y1" s="30" t="s">
        <v>24</v>
      </c>
      <c r="Z1" s="31" t="s">
        <v>5</v>
      </c>
      <c r="AA1" s="31" t="s">
        <v>6</v>
      </c>
    </row>
    <row r="2" spans="1:27" x14ac:dyDescent="0.25">
      <c r="A2" s="27">
        <v>1</v>
      </c>
      <c r="B2" s="27" t="s">
        <v>25</v>
      </c>
      <c r="C2" s="21">
        <v>96997</v>
      </c>
      <c r="D2" s="21">
        <v>1589</v>
      </c>
      <c r="E2" s="21">
        <v>598.02</v>
      </c>
      <c r="F2" s="21">
        <v>112</v>
      </c>
      <c r="G2" s="22">
        <v>7651</v>
      </c>
      <c r="H2" s="22">
        <v>1637.75</v>
      </c>
      <c r="I2" s="23">
        <v>12.2</v>
      </c>
      <c r="J2" s="23">
        <v>55.7</v>
      </c>
      <c r="K2" s="23">
        <v>10.7</v>
      </c>
      <c r="L2" s="23">
        <v>39.200000000000003</v>
      </c>
      <c r="M2" s="24">
        <v>4</v>
      </c>
      <c r="N2" s="24">
        <v>4.5</v>
      </c>
      <c r="O2" s="24">
        <v>2833.3</v>
      </c>
      <c r="P2" s="24">
        <v>2</v>
      </c>
      <c r="Q2" s="25">
        <v>39160</v>
      </c>
      <c r="R2" s="25">
        <v>29.87</v>
      </c>
      <c r="S2" s="26">
        <v>60</v>
      </c>
      <c r="T2" s="26">
        <v>2.2999999999999998</v>
      </c>
      <c r="U2" s="21">
        <v>463</v>
      </c>
      <c r="V2" s="22">
        <v>17.77</v>
      </c>
      <c r="W2" s="22">
        <v>3147.59</v>
      </c>
      <c r="X2" s="22">
        <v>399.79</v>
      </c>
      <c r="Y2" s="22">
        <v>9518.94</v>
      </c>
      <c r="Z2" s="23">
        <v>4.5999999999999996</v>
      </c>
      <c r="AA2" s="23">
        <v>8867.4599999999991</v>
      </c>
    </row>
    <row r="3" spans="1:27" x14ac:dyDescent="0.25">
      <c r="A3" s="27">
        <v>2</v>
      </c>
      <c r="B3" s="27" t="s">
        <v>26</v>
      </c>
      <c r="C3" s="21">
        <v>72843</v>
      </c>
      <c r="D3" s="21">
        <v>1159</v>
      </c>
      <c r="E3" s="21">
        <v>451.11</v>
      </c>
      <c r="F3" s="21">
        <v>85</v>
      </c>
      <c r="G3" s="22">
        <v>5351</v>
      </c>
      <c r="H3" s="22">
        <v>1559.66</v>
      </c>
      <c r="I3" s="23">
        <v>13.7</v>
      </c>
      <c r="J3" s="23">
        <v>55.1</v>
      </c>
      <c r="K3" s="23">
        <v>6.4</v>
      </c>
      <c r="L3" s="23">
        <v>31.5</v>
      </c>
      <c r="M3" s="24">
        <v>4</v>
      </c>
      <c r="N3" s="24">
        <v>3.4</v>
      </c>
      <c r="O3" s="24">
        <v>3430.9</v>
      </c>
      <c r="P3" s="24">
        <v>1.9</v>
      </c>
      <c r="Q3" s="25">
        <v>23742</v>
      </c>
      <c r="R3" s="25">
        <v>16.53</v>
      </c>
      <c r="S3" s="26">
        <v>59.2</v>
      </c>
      <c r="T3" s="26">
        <v>4.5999999999999996</v>
      </c>
      <c r="U3" s="21">
        <v>413</v>
      </c>
      <c r="V3" s="22">
        <v>22.59</v>
      </c>
      <c r="W3" s="22">
        <v>3101.1</v>
      </c>
      <c r="X3" s="22">
        <v>310.76</v>
      </c>
      <c r="Y3" s="22">
        <v>8891.49</v>
      </c>
      <c r="Z3" s="23">
        <v>7.3</v>
      </c>
      <c r="AA3" s="23">
        <v>7710.78</v>
      </c>
    </row>
    <row r="4" spans="1:27" x14ac:dyDescent="0.25">
      <c r="A4" s="27">
        <v>3</v>
      </c>
      <c r="B4" s="27" t="s">
        <v>27</v>
      </c>
      <c r="C4" s="21">
        <v>62534</v>
      </c>
      <c r="D4" s="21">
        <v>1084</v>
      </c>
      <c r="E4" s="21">
        <v>340.55</v>
      </c>
      <c r="F4" s="21">
        <v>76</v>
      </c>
      <c r="G4" s="22">
        <v>3706</v>
      </c>
      <c r="H4" s="22">
        <v>1819.42</v>
      </c>
      <c r="I4" s="23">
        <v>16.7</v>
      </c>
      <c r="J4" s="23">
        <v>68.400000000000006</v>
      </c>
      <c r="K4" s="23">
        <v>10.6</v>
      </c>
      <c r="L4" s="23">
        <v>38.9</v>
      </c>
      <c r="M4" s="24">
        <v>2</v>
      </c>
      <c r="N4" s="24">
        <v>2.9</v>
      </c>
      <c r="O4" s="24">
        <v>3289.6</v>
      </c>
      <c r="P4" s="24">
        <v>2.8</v>
      </c>
      <c r="Q4" s="25">
        <v>11892</v>
      </c>
      <c r="R4" s="25">
        <v>13.52</v>
      </c>
      <c r="S4" s="26">
        <v>56.7</v>
      </c>
      <c r="T4" s="26">
        <v>3.5</v>
      </c>
      <c r="U4" s="21">
        <v>413</v>
      </c>
      <c r="V4" s="22">
        <v>22.44</v>
      </c>
      <c r="W4" s="22">
        <v>3193.55</v>
      </c>
      <c r="X4" s="22">
        <v>318.47000000000003</v>
      </c>
      <c r="Y4" s="22">
        <v>8459.0400000000009</v>
      </c>
      <c r="Z4" s="23">
        <v>7.4</v>
      </c>
      <c r="AA4" s="23">
        <v>7771.05</v>
      </c>
    </row>
    <row r="5" spans="1:27" x14ac:dyDescent="0.25">
      <c r="A5" s="27">
        <v>4</v>
      </c>
      <c r="B5" s="27" t="s">
        <v>28</v>
      </c>
      <c r="C5" s="21">
        <v>72438</v>
      </c>
      <c r="D5" s="21">
        <v>1386</v>
      </c>
      <c r="E5" s="21">
        <v>472.11</v>
      </c>
      <c r="F5" s="21">
        <v>102</v>
      </c>
      <c r="G5" s="22">
        <v>6013</v>
      </c>
      <c r="H5" s="22">
        <v>1753.55</v>
      </c>
      <c r="I5" s="23">
        <v>10.7</v>
      </c>
      <c r="J5" s="23">
        <v>47</v>
      </c>
      <c r="K5" s="23">
        <v>7.9</v>
      </c>
      <c r="L5" s="23">
        <v>25</v>
      </c>
      <c r="M5" s="24">
        <v>3</v>
      </c>
      <c r="N5" s="24">
        <v>4.4000000000000004</v>
      </c>
      <c r="O5" s="24">
        <v>3923</v>
      </c>
      <c r="P5" s="24">
        <v>2.4</v>
      </c>
      <c r="Q5" s="25">
        <v>15088</v>
      </c>
      <c r="R5" s="25">
        <v>18.440000000000001</v>
      </c>
      <c r="S5" s="26">
        <v>56.6</v>
      </c>
      <c r="T5" s="26">
        <v>3.4</v>
      </c>
      <c r="U5" s="21">
        <v>425</v>
      </c>
      <c r="V5" s="22">
        <v>8.8000000000000007</v>
      </c>
      <c r="W5" s="22">
        <v>3110.36</v>
      </c>
      <c r="X5" s="22">
        <v>330.59</v>
      </c>
      <c r="Y5" s="22">
        <v>8923.2000000000007</v>
      </c>
      <c r="Z5" s="23">
        <v>4.5</v>
      </c>
      <c r="AA5" s="23">
        <v>7887.19</v>
      </c>
    </row>
    <row r="6" spans="1:27" x14ac:dyDescent="0.25">
      <c r="A6" s="27">
        <v>5</v>
      </c>
      <c r="B6" s="27" t="s">
        <v>29</v>
      </c>
      <c r="C6" s="21">
        <v>86151</v>
      </c>
      <c r="D6" s="21">
        <v>1236</v>
      </c>
      <c r="E6" s="21">
        <v>487.43</v>
      </c>
      <c r="F6" s="21">
        <v>85</v>
      </c>
      <c r="G6" s="22">
        <v>5286</v>
      </c>
      <c r="H6" s="22">
        <v>1754.42</v>
      </c>
      <c r="I6" s="23">
        <v>16.7</v>
      </c>
      <c r="J6" s="23">
        <v>55.5</v>
      </c>
      <c r="K6" s="23">
        <v>11.6</v>
      </c>
      <c r="L6" s="23">
        <v>43.1</v>
      </c>
      <c r="M6" s="24">
        <v>3</v>
      </c>
      <c r="N6" s="24">
        <v>4.9000000000000004</v>
      </c>
      <c r="O6" s="24">
        <v>3312.6</v>
      </c>
      <c r="P6" s="24">
        <v>1.9</v>
      </c>
      <c r="Q6" s="25">
        <v>10905</v>
      </c>
      <c r="R6" s="25">
        <v>9.9499999999999993</v>
      </c>
      <c r="S6" s="26">
        <v>56.1</v>
      </c>
      <c r="T6" s="26">
        <v>3.1</v>
      </c>
      <c r="U6" s="21">
        <v>461</v>
      </c>
      <c r="V6" s="22">
        <v>20.72</v>
      </c>
      <c r="W6" s="22">
        <v>2940.9</v>
      </c>
      <c r="X6" s="22">
        <v>319.74</v>
      </c>
      <c r="Y6" s="22">
        <v>9046.44</v>
      </c>
      <c r="Z6" s="23">
        <v>5.4</v>
      </c>
      <c r="AA6" s="23">
        <v>8096.32</v>
      </c>
    </row>
    <row r="7" spans="1:27" x14ac:dyDescent="0.25">
      <c r="A7" s="27">
        <v>6</v>
      </c>
      <c r="B7" s="27" t="s">
        <v>30</v>
      </c>
      <c r="C7" s="21">
        <v>80976</v>
      </c>
      <c r="D7" s="21">
        <v>1456</v>
      </c>
      <c r="E7" s="21">
        <v>540.98</v>
      </c>
      <c r="F7" s="21">
        <v>109</v>
      </c>
      <c r="G7" s="22">
        <v>4945</v>
      </c>
      <c r="H7" s="22">
        <v>1425.3</v>
      </c>
      <c r="I7" s="23">
        <v>14.8</v>
      </c>
      <c r="J7" s="23">
        <v>57.1</v>
      </c>
      <c r="K7" s="23">
        <v>9.8000000000000007</v>
      </c>
      <c r="L7" s="23">
        <v>37.1</v>
      </c>
      <c r="M7" s="24">
        <v>7</v>
      </c>
      <c r="N7" s="24">
        <v>4.5999999999999996</v>
      </c>
      <c r="O7" s="24">
        <v>3337.4</v>
      </c>
      <c r="P7" s="24">
        <v>2.1</v>
      </c>
      <c r="Q7" s="25">
        <v>45212</v>
      </c>
      <c r="R7" s="25">
        <v>30.18</v>
      </c>
      <c r="S7" s="26">
        <v>59.3</v>
      </c>
      <c r="T7" s="26">
        <v>2.7</v>
      </c>
      <c r="U7" s="21">
        <v>398</v>
      </c>
      <c r="V7" s="22">
        <v>32.51</v>
      </c>
      <c r="W7" s="22">
        <v>3323.19</v>
      </c>
      <c r="X7" s="22">
        <v>346.86</v>
      </c>
      <c r="Y7" s="22">
        <v>8723.18</v>
      </c>
      <c r="Z7" s="23">
        <v>4.0999999999999996</v>
      </c>
      <c r="AA7" s="23">
        <v>8818.7099999999991</v>
      </c>
    </row>
    <row r="8" spans="1:27" x14ac:dyDescent="0.25">
      <c r="A8" s="27">
        <v>7</v>
      </c>
      <c r="B8" s="27" t="s">
        <v>31</v>
      </c>
      <c r="C8" s="21">
        <v>142761</v>
      </c>
      <c r="D8" s="21">
        <v>1911</v>
      </c>
      <c r="E8" s="21">
        <v>1077.07</v>
      </c>
      <c r="F8" s="21">
        <v>144</v>
      </c>
      <c r="G8" s="22">
        <v>13687</v>
      </c>
      <c r="H8" s="22">
        <v>1713.91</v>
      </c>
      <c r="I8" s="23">
        <v>16.3</v>
      </c>
      <c r="J8" s="23">
        <v>63.6</v>
      </c>
      <c r="K8" s="23">
        <v>12.2</v>
      </c>
      <c r="L8" s="23">
        <v>52.2</v>
      </c>
      <c r="M8" s="24">
        <v>7</v>
      </c>
      <c r="N8" s="24">
        <v>5.7</v>
      </c>
      <c r="O8" s="24">
        <v>3191.5</v>
      </c>
      <c r="P8" s="24">
        <v>1.7</v>
      </c>
      <c r="Q8" s="25">
        <v>20224</v>
      </c>
      <c r="R8" s="25">
        <v>13.09</v>
      </c>
      <c r="S8" s="26">
        <v>63.3</v>
      </c>
      <c r="T8" s="26">
        <v>2.5</v>
      </c>
      <c r="U8" s="21">
        <v>464.8</v>
      </c>
      <c r="V8" s="22">
        <v>18.489999999999998</v>
      </c>
      <c r="W8" s="22">
        <v>3819.62</v>
      </c>
      <c r="X8" s="22">
        <v>393.91</v>
      </c>
      <c r="Y8" s="22">
        <v>10843.21</v>
      </c>
      <c r="Z8" s="23">
        <v>4</v>
      </c>
      <c r="AA8" s="23">
        <v>10018.709999999999</v>
      </c>
    </row>
    <row r="9" spans="1:27" x14ac:dyDescent="0.25">
      <c r="A9" s="27">
        <v>8</v>
      </c>
      <c r="B9" s="27" t="s">
        <v>32</v>
      </c>
      <c r="C9" s="21">
        <v>72963</v>
      </c>
      <c r="D9" s="21">
        <v>1232</v>
      </c>
      <c r="E9" s="21">
        <v>469.91</v>
      </c>
      <c r="F9" s="21">
        <v>71</v>
      </c>
      <c r="G9" s="22">
        <v>7197</v>
      </c>
      <c r="H9" s="22">
        <v>1417.39</v>
      </c>
      <c r="I9" s="23">
        <v>12.9</v>
      </c>
      <c r="J9" s="23">
        <v>55.4</v>
      </c>
      <c r="K9" s="23">
        <v>7.2</v>
      </c>
      <c r="L9" s="23">
        <v>25.7</v>
      </c>
      <c r="M9" s="24">
        <v>3</v>
      </c>
      <c r="N9" s="24">
        <v>5</v>
      </c>
      <c r="O9" s="24">
        <v>3935</v>
      </c>
      <c r="P9" s="24">
        <v>3.2</v>
      </c>
      <c r="Q9" s="25">
        <v>8273</v>
      </c>
      <c r="R9" s="25">
        <v>8.4600000000000009</v>
      </c>
      <c r="S9" s="26">
        <v>59.5</v>
      </c>
      <c r="T9" s="26">
        <v>2.9</v>
      </c>
      <c r="U9" s="21">
        <v>398</v>
      </c>
      <c r="V9" s="22">
        <v>14.94</v>
      </c>
      <c r="W9" s="22">
        <v>3039.54</v>
      </c>
      <c r="X9" s="22">
        <v>337.92</v>
      </c>
      <c r="Y9" s="22">
        <v>8618.2900000000009</v>
      </c>
      <c r="Z9" s="23">
        <v>5.9</v>
      </c>
      <c r="AA9" s="23">
        <v>7958.35</v>
      </c>
    </row>
    <row r="10" spans="1:27" x14ac:dyDescent="0.25">
      <c r="A10" s="27">
        <v>9</v>
      </c>
      <c r="B10" s="27" t="s">
        <v>33</v>
      </c>
      <c r="C10" s="21">
        <v>64987</v>
      </c>
      <c r="D10" s="21">
        <v>1038</v>
      </c>
      <c r="E10" s="21">
        <v>473.35</v>
      </c>
      <c r="F10" s="21">
        <v>73</v>
      </c>
      <c r="G10" s="22">
        <v>4557</v>
      </c>
      <c r="H10" s="22">
        <v>1885.43</v>
      </c>
      <c r="I10" s="23">
        <v>16.8</v>
      </c>
      <c r="J10" s="23">
        <v>65</v>
      </c>
      <c r="K10" s="23">
        <v>8.1999999999999993</v>
      </c>
      <c r="L10" s="23">
        <v>28.6</v>
      </c>
      <c r="M10" s="24">
        <v>4</v>
      </c>
      <c r="N10" s="24">
        <v>3.8</v>
      </c>
      <c r="O10" s="24">
        <v>4132.2</v>
      </c>
      <c r="P10" s="24">
        <v>3.2</v>
      </c>
      <c r="Q10" s="25">
        <v>17270</v>
      </c>
      <c r="R10" s="25">
        <v>16.739999999999998</v>
      </c>
      <c r="S10" s="26">
        <v>52.7</v>
      </c>
      <c r="T10" s="26">
        <v>4</v>
      </c>
      <c r="U10" s="21">
        <v>353</v>
      </c>
      <c r="V10" s="22">
        <v>19.25</v>
      </c>
      <c r="W10" s="22">
        <v>3121.56</v>
      </c>
      <c r="X10" s="22">
        <v>307.3</v>
      </c>
      <c r="Y10" s="22">
        <v>8554.35</v>
      </c>
      <c r="Z10" s="23">
        <v>8.6999999999999993</v>
      </c>
      <c r="AA10" s="23">
        <v>7514.69</v>
      </c>
    </row>
    <row r="11" spans="1:27" x14ac:dyDescent="0.25">
      <c r="A11" s="27">
        <v>10</v>
      </c>
      <c r="B11" s="27" t="s">
        <v>34</v>
      </c>
      <c r="C11" s="21">
        <v>70079</v>
      </c>
      <c r="D11" s="21">
        <v>1093</v>
      </c>
      <c r="E11" s="21">
        <v>397.31</v>
      </c>
      <c r="F11" s="21">
        <v>76</v>
      </c>
      <c r="G11" s="22">
        <v>3702</v>
      </c>
      <c r="H11" s="22">
        <v>2219.9899999999998</v>
      </c>
      <c r="I11" s="23">
        <v>16.8</v>
      </c>
      <c r="J11" s="23">
        <v>63.2</v>
      </c>
      <c r="K11" s="23">
        <v>11.1</v>
      </c>
      <c r="L11" s="23">
        <v>41.4</v>
      </c>
      <c r="M11" s="24">
        <v>4</v>
      </c>
      <c r="N11" s="24">
        <v>3.7</v>
      </c>
      <c r="O11" s="24">
        <v>4311.1000000000004</v>
      </c>
      <c r="P11" s="24">
        <v>2</v>
      </c>
      <c r="Q11" s="25">
        <v>11274</v>
      </c>
      <c r="R11" s="25">
        <v>12.73</v>
      </c>
      <c r="S11" s="26">
        <v>56.1</v>
      </c>
      <c r="T11" s="26">
        <v>4.3</v>
      </c>
      <c r="U11" s="21">
        <v>425</v>
      </c>
      <c r="V11" s="22">
        <v>22.95</v>
      </c>
      <c r="W11" s="22">
        <v>3355.05</v>
      </c>
      <c r="X11" s="22">
        <v>336.86</v>
      </c>
      <c r="Y11" s="22">
        <v>9329.51</v>
      </c>
      <c r="Z11" s="23">
        <v>7</v>
      </c>
      <c r="AA11" s="23">
        <v>7850.16</v>
      </c>
    </row>
    <row r="12" spans="1:27" x14ac:dyDescent="0.25">
      <c r="A12" s="27">
        <v>11</v>
      </c>
      <c r="B12" s="27" t="s">
        <v>35</v>
      </c>
      <c r="C12" s="21">
        <v>86643</v>
      </c>
      <c r="D12" s="21">
        <v>1567</v>
      </c>
      <c r="E12" s="21">
        <v>601.32000000000005</v>
      </c>
      <c r="F12" s="21">
        <v>121</v>
      </c>
      <c r="G12" s="22">
        <v>7456</v>
      </c>
      <c r="H12" s="22">
        <v>1400.22</v>
      </c>
      <c r="I12" s="23">
        <v>12</v>
      </c>
      <c r="J12" s="23">
        <v>45.8</v>
      </c>
      <c r="K12" s="23">
        <v>10.1</v>
      </c>
      <c r="L12" s="23">
        <v>36.799999999999997</v>
      </c>
      <c r="M12" s="24">
        <v>4</v>
      </c>
      <c r="N12" s="24">
        <v>5.4</v>
      </c>
      <c r="O12" s="24">
        <v>2087.9</v>
      </c>
      <c r="P12" s="24">
        <v>1.3</v>
      </c>
      <c r="Q12" s="25">
        <v>46251</v>
      </c>
      <c r="R12" s="25">
        <v>49.07</v>
      </c>
      <c r="S12" s="26">
        <v>60.1</v>
      </c>
      <c r="T12" s="26">
        <v>3.3</v>
      </c>
      <c r="U12" s="21">
        <v>425</v>
      </c>
      <c r="V12" s="22">
        <v>10.86</v>
      </c>
      <c r="W12" s="22">
        <v>3362.2</v>
      </c>
      <c r="X12" s="22">
        <v>299.87</v>
      </c>
      <c r="Y12" s="22">
        <v>9257.75</v>
      </c>
      <c r="Z12" s="23">
        <v>4.5999999999999996</v>
      </c>
      <c r="AA12" s="23">
        <v>8620.2800000000007</v>
      </c>
    </row>
    <row r="13" spans="1:27" x14ac:dyDescent="0.25">
      <c r="A13" s="27">
        <v>12</v>
      </c>
      <c r="B13" s="27" t="s">
        <v>36</v>
      </c>
      <c r="C13" s="21">
        <v>93591</v>
      </c>
      <c r="D13" s="21">
        <v>1271</v>
      </c>
      <c r="E13" s="21">
        <v>540.98</v>
      </c>
      <c r="F13" s="21">
        <v>82</v>
      </c>
      <c r="G13" s="22">
        <v>7615</v>
      </c>
      <c r="H13" s="22">
        <v>1279.55</v>
      </c>
      <c r="I13" s="23">
        <v>14.2</v>
      </c>
      <c r="J13" s="23">
        <v>60.9</v>
      </c>
      <c r="K13" s="23">
        <v>9.3000000000000007</v>
      </c>
      <c r="L13" s="23">
        <v>38.299999999999997</v>
      </c>
      <c r="M13" s="24">
        <v>4</v>
      </c>
      <c r="N13" s="24">
        <v>5.5</v>
      </c>
      <c r="O13" s="24">
        <v>3478.7</v>
      </c>
      <c r="P13" s="24">
        <v>1.7</v>
      </c>
      <c r="Q13" s="25">
        <v>14305</v>
      </c>
      <c r="R13" s="25">
        <v>11.24</v>
      </c>
      <c r="S13" s="26">
        <v>55.9</v>
      </c>
      <c r="T13" s="26">
        <v>2.2000000000000002</v>
      </c>
      <c r="U13" s="21">
        <v>445</v>
      </c>
      <c r="V13" s="22">
        <v>24.06</v>
      </c>
      <c r="W13" s="22">
        <v>3402.3</v>
      </c>
      <c r="X13" s="22">
        <v>270.11</v>
      </c>
      <c r="Y13" s="22">
        <v>8987.23</v>
      </c>
      <c r="Z13" s="23">
        <v>3.6</v>
      </c>
      <c r="AA13" s="23">
        <v>8537.5400000000009</v>
      </c>
    </row>
    <row r="14" spans="1:27" x14ac:dyDescent="0.25">
      <c r="A14" s="27">
        <v>13</v>
      </c>
      <c r="B14" s="27" t="s">
        <v>37</v>
      </c>
      <c r="C14" s="21">
        <v>67847</v>
      </c>
      <c r="D14" s="21">
        <v>1140</v>
      </c>
      <c r="E14" s="21">
        <v>389.77</v>
      </c>
      <c r="F14" s="21">
        <v>76</v>
      </c>
      <c r="G14" s="22">
        <v>3908</v>
      </c>
      <c r="H14" s="22">
        <v>1567.54</v>
      </c>
      <c r="I14" s="23">
        <v>16</v>
      </c>
      <c r="J14" s="23">
        <v>70.2</v>
      </c>
      <c r="K14" s="23">
        <v>8.6999999999999993</v>
      </c>
      <c r="L14" s="23">
        <v>32.200000000000003</v>
      </c>
      <c r="M14" s="24">
        <v>3</v>
      </c>
      <c r="N14" s="24">
        <v>3.2</v>
      </c>
      <c r="O14" s="24">
        <v>3657</v>
      </c>
      <c r="P14" s="24">
        <v>2.2000000000000002</v>
      </c>
      <c r="Q14" s="25">
        <v>17580</v>
      </c>
      <c r="R14" s="25">
        <v>16.579999999999998</v>
      </c>
      <c r="S14" s="26">
        <v>55.5</v>
      </c>
      <c r="T14" s="26">
        <v>4.3</v>
      </c>
      <c r="U14" s="21">
        <v>398</v>
      </c>
      <c r="V14" s="22">
        <v>22.42</v>
      </c>
      <c r="W14" s="22">
        <v>2768.03</v>
      </c>
      <c r="X14" s="22">
        <v>310.55</v>
      </c>
      <c r="Y14" s="22">
        <v>8239.69</v>
      </c>
      <c r="Z14" s="23">
        <v>7.6</v>
      </c>
      <c r="AA14" s="23">
        <v>7664.18</v>
      </c>
    </row>
    <row r="15" spans="1:27" x14ac:dyDescent="0.25">
      <c r="A15" s="27">
        <v>14</v>
      </c>
      <c r="B15" s="27" t="s">
        <v>38</v>
      </c>
      <c r="C15" s="21">
        <v>64077</v>
      </c>
      <c r="D15" s="21">
        <v>1113</v>
      </c>
      <c r="E15" s="21">
        <v>332.28</v>
      </c>
      <c r="F15" s="21">
        <v>78</v>
      </c>
      <c r="G15" s="22">
        <v>3862</v>
      </c>
      <c r="H15" s="22">
        <v>1575.65</v>
      </c>
      <c r="I15" s="23">
        <v>12.2</v>
      </c>
      <c r="J15" s="23">
        <v>53</v>
      </c>
      <c r="K15" s="23">
        <v>7.1</v>
      </c>
      <c r="L15" s="23">
        <v>26.4</v>
      </c>
      <c r="M15" s="24">
        <v>3</v>
      </c>
      <c r="N15" s="24">
        <v>4.5</v>
      </c>
      <c r="O15" s="24">
        <v>2839.2</v>
      </c>
      <c r="P15" s="24">
        <v>2.1</v>
      </c>
      <c r="Q15" s="25">
        <v>25723</v>
      </c>
      <c r="R15" s="25">
        <v>30.84</v>
      </c>
      <c r="S15" s="26">
        <v>54.3</v>
      </c>
      <c r="T15" s="26">
        <v>5.2</v>
      </c>
      <c r="U15" s="21">
        <v>413</v>
      </c>
      <c r="V15" s="22">
        <v>11.33</v>
      </c>
      <c r="W15" s="22">
        <v>2872.77</v>
      </c>
      <c r="X15" s="22">
        <v>331.08</v>
      </c>
      <c r="Y15" s="22">
        <v>8375.73</v>
      </c>
      <c r="Z15" s="23">
        <v>8.4</v>
      </c>
      <c r="AA15" s="23">
        <v>7529.41</v>
      </c>
    </row>
    <row r="16" spans="1:27" x14ac:dyDescent="0.25">
      <c r="A16" s="27">
        <v>15</v>
      </c>
      <c r="B16" s="27" t="s">
        <v>39</v>
      </c>
      <c r="C16" s="21">
        <v>95104</v>
      </c>
      <c r="D16" s="21">
        <v>1491</v>
      </c>
      <c r="E16" s="21">
        <v>596.51</v>
      </c>
      <c r="F16" s="21">
        <v>105</v>
      </c>
      <c r="G16" s="22">
        <v>6894</v>
      </c>
      <c r="H16" s="22">
        <v>1557.5</v>
      </c>
      <c r="I16" s="23">
        <v>15.4</v>
      </c>
      <c r="J16" s="23">
        <v>48</v>
      </c>
      <c r="K16" s="23">
        <v>8.8000000000000007</v>
      </c>
      <c r="L16" s="23">
        <v>30.7</v>
      </c>
      <c r="M16" s="24">
        <v>3</v>
      </c>
      <c r="N16" s="24">
        <v>4.0999999999999996</v>
      </c>
      <c r="O16" s="24">
        <v>3278.7</v>
      </c>
      <c r="P16" s="24">
        <v>1.8</v>
      </c>
      <c r="Q16" s="25">
        <v>11057</v>
      </c>
      <c r="R16" s="25">
        <v>11.66</v>
      </c>
      <c r="S16" s="26">
        <v>59.9</v>
      </c>
      <c r="T16" s="26">
        <v>3</v>
      </c>
      <c r="U16" s="21">
        <v>398</v>
      </c>
      <c r="V16" s="22">
        <v>21.1</v>
      </c>
      <c r="W16" s="22">
        <v>3345.34</v>
      </c>
      <c r="X16" s="22">
        <v>304.82</v>
      </c>
      <c r="Y16" s="22">
        <v>8604.0400000000009</v>
      </c>
      <c r="Z16" s="23">
        <v>2.9</v>
      </c>
      <c r="AA16" s="23">
        <v>7759.22</v>
      </c>
    </row>
    <row r="17" spans="1:27" x14ac:dyDescent="0.25">
      <c r="A17" s="27">
        <v>16</v>
      </c>
      <c r="B17" s="27" t="s">
        <v>40</v>
      </c>
      <c r="C17" s="21">
        <v>74398</v>
      </c>
      <c r="D17" s="21">
        <v>1572</v>
      </c>
      <c r="E17" s="21">
        <v>490.3</v>
      </c>
      <c r="F17" s="21">
        <v>104</v>
      </c>
      <c r="G17" s="22">
        <v>5331</v>
      </c>
      <c r="H17" s="22">
        <v>1655.63</v>
      </c>
      <c r="I17" s="23">
        <v>12.6</v>
      </c>
      <c r="J17" s="23">
        <v>48.1</v>
      </c>
      <c r="K17" s="23">
        <v>10.7</v>
      </c>
      <c r="L17" s="23">
        <v>34</v>
      </c>
      <c r="M17" s="24">
        <v>3</v>
      </c>
      <c r="N17" s="24">
        <v>6</v>
      </c>
      <c r="O17" s="24">
        <v>3632.9</v>
      </c>
      <c r="P17" s="24">
        <v>2.1</v>
      </c>
      <c r="Q17" s="25">
        <v>101574</v>
      </c>
      <c r="R17" s="25">
        <v>94.5</v>
      </c>
      <c r="S17" s="26">
        <v>58.1</v>
      </c>
      <c r="T17" s="26">
        <v>3.3</v>
      </c>
      <c r="U17" s="21">
        <v>445</v>
      </c>
      <c r="V17" s="22">
        <v>9.8000000000000007</v>
      </c>
      <c r="W17" s="22">
        <v>2901.72</v>
      </c>
      <c r="X17" s="22">
        <v>359.04</v>
      </c>
      <c r="Y17" s="22">
        <v>9044.31</v>
      </c>
      <c r="Z17" s="23">
        <v>6.8</v>
      </c>
      <c r="AA17" s="23">
        <v>8027.37</v>
      </c>
    </row>
    <row r="21" spans="1:27" x14ac:dyDescent="0.25">
      <c r="C21">
        <f>(C2-MIN(C$2:C$17))/(MAX(C$2:C$17)-MIN(C$2:C$17))</f>
        <v>0.42956859910005357</v>
      </c>
      <c r="D21">
        <f t="shared" ref="D21:AA32" si="0">(D2-MIN(D$2:D$17))/(MAX(D$2:D$17)-MIN(D$2:D$17))</f>
        <v>0.63115693012600227</v>
      </c>
      <c r="E21">
        <f t="shared" si="0"/>
        <v>0.35679856066810783</v>
      </c>
      <c r="F21">
        <f t="shared" si="0"/>
        <v>0.56164383561643838</v>
      </c>
      <c r="G21">
        <f t="shared" si="0"/>
        <v>0.39549323985978968</v>
      </c>
      <c r="H21">
        <f t="shared" si="0"/>
        <v>0.38088554293734861</v>
      </c>
      <c r="I21">
        <f t="shared" si="0"/>
        <v>0.24590163934426224</v>
      </c>
      <c r="J21">
        <f t="shared" si="0"/>
        <v>0.4057377049180329</v>
      </c>
      <c r="K21">
        <f t="shared" si="0"/>
        <v>0.74137931034482751</v>
      </c>
      <c r="L21">
        <f t="shared" si="0"/>
        <v>0.5220588235294118</v>
      </c>
      <c r="M21">
        <f t="shared" si="0"/>
        <v>0.4</v>
      </c>
      <c r="N21">
        <f t="shared" si="0"/>
        <v>0.5161290322580645</v>
      </c>
      <c r="O21">
        <f t="shared" si="0"/>
        <v>0.33528247571068731</v>
      </c>
      <c r="P21">
        <f t="shared" si="0"/>
        <v>0.36842105263157887</v>
      </c>
      <c r="Q21">
        <f t="shared" si="0"/>
        <v>0.33104682693647441</v>
      </c>
      <c r="R21">
        <f t="shared" si="0"/>
        <v>0.24883774988377502</v>
      </c>
      <c r="S21">
        <f t="shared" si="0"/>
        <v>0.68867924528301894</v>
      </c>
      <c r="T21" s="35">
        <f>(MAX(T$2:T$17)-T2)/(MAX(T$2:T$17)-MIN(T$2:T$17))</f>
        <v>0.96666666666666679</v>
      </c>
      <c r="U21">
        <f t="shared" si="0"/>
        <v>0.98389982110912333</v>
      </c>
      <c r="V21">
        <f t="shared" si="0"/>
        <v>0.37832138338253901</v>
      </c>
      <c r="W21">
        <f t="shared" si="0"/>
        <v>0.36093914928822074</v>
      </c>
      <c r="X21">
        <f t="shared" si="0"/>
        <v>1</v>
      </c>
      <c r="Y21">
        <f t="shared" si="0"/>
        <v>0.4913540130285155</v>
      </c>
      <c r="Z21" s="35">
        <f>(MAX(Z$2:Z$17)-Z2)/(MAX(Z$2:Z$17)-MIN(Z$2:Z$17))</f>
        <v>0.70689655172413801</v>
      </c>
      <c r="AA21">
        <f t="shared" si="0"/>
        <v>0.54023929521329694</v>
      </c>
    </row>
    <row r="22" spans="1:27" x14ac:dyDescent="0.25">
      <c r="C22">
        <f t="shared" ref="C22:R36" si="1">(C3-MIN(C$2:C$17))/(MAX(C$2:C$17)-MIN(C$2:C$17))</f>
        <v>0.12849788724494249</v>
      </c>
      <c r="D22">
        <f t="shared" si="1"/>
        <v>0.13860252004581902</v>
      </c>
      <c r="E22">
        <f t="shared" si="1"/>
        <v>0.15954832905919797</v>
      </c>
      <c r="F22">
        <f t="shared" si="1"/>
        <v>0.19178082191780821</v>
      </c>
      <c r="G22">
        <f t="shared" si="1"/>
        <v>0.16514772158237356</v>
      </c>
      <c r="H22">
        <f t="shared" si="1"/>
        <v>0.29784994258006908</v>
      </c>
      <c r="I22">
        <f t="shared" si="1"/>
        <v>0.49180327868852447</v>
      </c>
      <c r="J22">
        <f t="shared" si="1"/>
        <v>0.38114754098360665</v>
      </c>
      <c r="K22">
        <f t="shared" si="1"/>
        <v>0</v>
      </c>
      <c r="L22">
        <f t="shared" si="1"/>
        <v>0.2389705882352941</v>
      </c>
      <c r="M22">
        <f t="shared" si="1"/>
        <v>0.4</v>
      </c>
      <c r="N22">
        <f t="shared" si="1"/>
        <v>0.16129032258064516</v>
      </c>
      <c r="O22">
        <f t="shared" si="1"/>
        <v>0.60408420295070164</v>
      </c>
      <c r="P22">
        <f t="shared" si="1"/>
        <v>0.31578947368421045</v>
      </c>
      <c r="Q22">
        <f t="shared" si="1"/>
        <v>0.16579672243598675</v>
      </c>
      <c r="R22">
        <f t="shared" si="1"/>
        <v>9.3793584379358447E-2</v>
      </c>
      <c r="S22">
        <f t="shared" si="0"/>
        <v>0.61320754716981163</v>
      </c>
      <c r="T22" s="35">
        <f t="shared" ref="T22:T36" si="2">(MAX(T$2:T$17)-T3)/(MAX(T$2:T$17)-MIN(T$2:T$17))</f>
        <v>0.20000000000000018</v>
      </c>
      <c r="U22">
        <f t="shared" si="0"/>
        <v>0.53667262969588547</v>
      </c>
      <c r="V22">
        <f t="shared" si="0"/>
        <v>0.58161113454238722</v>
      </c>
      <c r="W22">
        <f t="shared" si="0"/>
        <v>0.31672990424024555</v>
      </c>
      <c r="X22">
        <f t="shared" si="0"/>
        <v>0.31346391116594674</v>
      </c>
      <c r="Y22">
        <f t="shared" si="0"/>
        <v>0.2503533677482791</v>
      </c>
      <c r="Z22" s="35">
        <f t="shared" ref="Z22:Z36" si="3">(MAX(Z$2:Z$17)-Z3)/(MAX(Z$2:Z$17)-MIN(Z$2:Z$17))</f>
        <v>0.24137931034482754</v>
      </c>
      <c r="AA22">
        <f t="shared" si="0"/>
        <v>7.8310077395548031E-2</v>
      </c>
    </row>
    <row r="23" spans="1:27" x14ac:dyDescent="0.25">
      <c r="C23">
        <f t="shared" si="1"/>
        <v>0</v>
      </c>
      <c r="D23">
        <f t="shared" si="0"/>
        <v>5.2691867124856816E-2</v>
      </c>
      <c r="E23">
        <f t="shared" si="0"/>
        <v>1.1103801071443009E-2</v>
      </c>
      <c r="F23">
        <f t="shared" si="0"/>
        <v>6.8493150684931503E-2</v>
      </c>
      <c r="G23">
        <f t="shared" si="0"/>
        <v>4.0060090135202804E-4</v>
      </c>
      <c r="H23">
        <f t="shared" si="0"/>
        <v>0.57406107779337356</v>
      </c>
      <c r="I23">
        <f t="shared" si="0"/>
        <v>0.98360655737704894</v>
      </c>
      <c r="J23">
        <f t="shared" si="0"/>
        <v>0.92622950819672145</v>
      </c>
      <c r="K23">
        <f t="shared" si="0"/>
        <v>0.72413793103448276</v>
      </c>
      <c r="L23">
        <f t="shared" si="0"/>
        <v>0.51102941176470573</v>
      </c>
      <c r="M23">
        <f t="shared" si="0"/>
        <v>0</v>
      </c>
      <c r="N23">
        <f t="shared" si="0"/>
        <v>0</v>
      </c>
      <c r="O23">
        <f t="shared" si="0"/>
        <v>0.5405271680460596</v>
      </c>
      <c r="P23">
        <f t="shared" si="0"/>
        <v>0.78947368421052611</v>
      </c>
      <c r="Q23">
        <f t="shared" si="0"/>
        <v>3.8788437422964381E-2</v>
      </c>
      <c r="R23">
        <f t="shared" si="0"/>
        <v>5.8809855880985577E-2</v>
      </c>
      <c r="S23">
        <f t="shared" si="0"/>
        <v>0.37735849056603793</v>
      </c>
      <c r="T23" s="35">
        <f t="shared" si="2"/>
        <v>0.56666666666666676</v>
      </c>
      <c r="U23">
        <f t="shared" si="0"/>
        <v>0.53667262969588547</v>
      </c>
      <c r="V23">
        <f t="shared" si="0"/>
        <v>0.57528469000421767</v>
      </c>
      <c r="W23">
        <f t="shared" si="0"/>
        <v>0.40464439562947546</v>
      </c>
      <c r="X23">
        <f t="shared" si="0"/>
        <v>0.37291795188155469</v>
      </c>
      <c r="Y23">
        <f t="shared" si="0"/>
        <v>8.4251321288102449E-2</v>
      </c>
      <c r="Z23" s="35">
        <f t="shared" si="3"/>
        <v>0.22413793103448262</v>
      </c>
      <c r="AA23">
        <f t="shared" si="0"/>
        <v>0.10237937396666186</v>
      </c>
    </row>
    <row r="24" spans="1:27" x14ac:dyDescent="0.25">
      <c r="C24">
        <f t="shared" si="1"/>
        <v>0.12344971144377828</v>
      </c>
      <c r="D24">
        <f t="shared" si="0"/>
        <v>0.39862542955326463</v>
      </c>
      <c r="E24">
        <f t="shared" si="0"/>
        <v>0.18774419635064923</v>
      </c>
      <c r="F24">
        <f t="shared" si="0"/>
        <v>0.42465753424657532</v>
      </c>
      <c r="G24">
        <f t="shared" si="0"/>
        <v>0.23144717075613419</v>
      </c>
      <c r="H24">
        <f t="shared" si="0"/>
        <v>0.50401939517672589</v>
      </c>
      <c r="I24">
        <f t="shared" si="0"/>
        <v>0</v>
      </c>
      <c r="J24">
        <f t="shared" si="0"/>
        <v>4.9180327868852562E-2</v>
      </c>
      <c r="K24">
        <f t="shared" si="0"/>
        <v>0.25862068965517249</v>
      </c>
      <c r="L24">
        <f t="shared" si="0"/>
        <v>0</v>
      </c>
      <c r="M24">
        <f t="shared" si="0"/>
        <v>0.2</v>
      </c>
      <c r="N24">
        <f t="shared" si="0"/>
        <v>0.48387096774193561</v>
      </c>
      <c r="O24">
        <f t="shared" si="0"/>
        <v>0.82543181000359822</v>
      </c>
      <c r="P24">
        <f t="shared" si="0"/>
        <v>0.57894736842105254</v>
      </c>
      <c r="Q24">
        <f t="shared" si="0"/>
        <v>7.3043161380906954E-2</v>
      </c>
      <c r="R24">
        <f t="shared" si="0"/>
        <v>0.11599256159925618</v>
      </c>
      <c r="S24">
        <f t="shared" si="0"/>
        <v>0.36792452830188688</v>
      </c>
      <c r="T24" s="35">
        <f t="shared" si="2"/>
        <v>0.60000000000000009</v>
      </c>
      <c r="U24">
        <f t="shared" si="0"/>
        <v>0.6440071556350625</v>
      </c>
      <c r="V24">
        <f t="shared" si="0"/>
        <v>0</v>
      </c>
      <c r="W24">
        <f t="shared" si="0"/>
        <v>0.32553561749350984</v>
      </c>
      <c r="X24">
        <f t="shared" si="0"/>
        <v>0.46637877853177018</v>
      </c>
      <c r="Y24">
        <f t="shared" si="0"/>
        <v>0.26253303220255675</v>
      </c>
      <c r="Z24" s="35">
        <f t="shared" si="3"/>
        <v>0.72413793103448276</v>
      </c>
      <c r="AA24">
        <f t="shared" si="0"/>
        <v>0.14876079264542619</v>
      </c>
    </row>
    <row r="25" spans="1:27" x14ac:dyDescent="0.25">
      <c r="C25">
        <f t="shared" si="1"/>
        <v>0.29437720468171563</v>
      </c>
      <c r="D25">
        <f t="shared" si="0"/>
        <v>0.22680412371134021</v>
      </c>
      <c r="E25">
        <f t="shared" si="0"/>
        <v>0.20831375286993656</v>
      </c>
      <c r="F25">
        <f t="shared" si="0"/>
        <v>0.19178082191780821</v>
      </c>
      <c r="G25">
        <f t="shared" si="0"/>
        <v>0.15863795693540311</v>
      </c>
      <c r="H25">
        <f t="shared" si="0"/>
        <v>0.50494449406660735</v>
      </c>
      <c r="I25">
        <f t="shared" si="0"/>
        <v>0.98360655737704894</v>
      </c>
      <c r="J25">
        <f t="shared" si="0"/>
        <v>0.39754098360655737</v>
      </c>
      <c r="K25">
        <f t="shared" si="0"/>
        <v>0.89655172413793105</v>
      </c>
      <c r="L25">
        <f t="shared" si="0"/>
        <v>0.6654411764705882</v>
      </c>
      <c r="M25">
        <f t="shared" si="0"/>
        <v>0.2</v>
      </c>
      <c r="N25">
        <f t="shared" si="0"/>
        <v>0.64516129032258074</v>
      </c>
      <c r="O25">
        <f t="shared" si="0"/>
        <v>0.55087261604893833</v>
      </c>
      <c r="P25">
        <f t="shared" si="0"/>
        <v>0.31578947368421045</v>
      </c>
      <c r="Q25">
        <f t="shared" si="0"/>
        <v>2.8209772671246826E-2</v>
      </c>
      <c r="R25">
        <f t="shared" si="0"/>
        <v>1.7317526731752658E-2</v>
      </c>
      <c r="S25">
        <f t="shared" si="0"/>
        <v>0.32075471698113212</v>
      </c>
      <c r="T25" s="35">
        <f t="shared" si="2"/>
        <v>0.70000000000000007</v>
      </c>
      <c r="U25">
        <f t="shared" si="0"/>
        <v>0.96601073345259381</v>
      </c>
      <c r="V25">
        <f t="shared" si="0"/>
        <v>0.50274145929987346</v>
      </c>
      <c r="W25">
        <f t="shared" si="0"/>
        <v>0.16438916307686449</v>
      </c>
      <c r="X25">
        <f t="shared" si="0"/>
        <v>0.38271128932757553</v>
      </c>
      <c r="Y25">
        <f t="shared" si="0"/>
        <v>0.30986894665683401</v>
      </c>
      <c r="Z25" s="35">
        <f t="shared" si="3"/>
        <v>0.56896551724137923</v>
      </c>
      <c r="AA25">
        <f t="shared" si="0"/>
        <v>0.23227849617814564</v>
      </c>
    </row>
    <row r="26" spans="1:27" x14ac:dyDescent="0.25">
      <c r="C26">
        <f t="shared" si="1"/>
        <v>0.22987273611128423</v>
      </c>
      <c r="D26">
        <f t="shared" si="0"/>
        <v>0.47880870561282934</v>
      </c>
      <c r="E26">
        <f t="shared" si="0"/>
        <v>0.28021321446313735</v>
      </c>
      <c r="F26">
        <f t="shared" si="0"/>
        <v>0.52054794520547942</v>
      </c>
      <c r="G26">
        <f t="shared" si="0"/>
        <v>0.12448673009514272</v>
      </c>
      <c r="H26">
        <f t="shared" si="0"/>
        <v>0.15498064735655653</v>
      </c>
      <c r="I26">
        <f t="shared" si="0"/>
        <v>0.67213114754098369</v>
      </c>
      <c r="J26">
        <f t="shared" si="0"/>
        <v>0.46311475409836073</v>
      </c>
      <c r="K26">
        <f t="shared" si="0"/>
        <v>0.58620689655172431</v>
      </c>
      <c r="L26">
        <f t="shared" si="0"/>
        <v>0.44485294117647062</v>
      </c>
      <c r="M26">
        <f t="shared" si="0"/>
        <v>1</v>
      </c>
      <c r="N26">
        <f t="shared" si="0"/>
        <v>0.54838709677419339</v>
      </c>
      <c r="O26">
        <f t="shared" si="0"/>
        <v>0.56202770780856415</v>
      </c>
      <c r="P26">
        <f t="shared" si="0"/>
        <v>0.42105263157894735</v>
      </c>
      <c r="Q26">
        <f t="shared" si="0"/>
        <v>0.39591215528236567</v>
      </c>
      <c r="R26">
        <f t="shared" si="0"/>
        <v>0.25244072524407252</v>
      </c>
      <c r="S26">
        <f t="shared" si="0"/>
        <v>0.62264150943396201</v>
      </c>
      <c r="T26" s="35">
        <f t="shared" si="2"/>
        <v>0.83333333333333337</v>
      </c>
      <c r="U26">
        <f t="shared" si="0"/>
        <v>0.4025044722719141</v>
      </c>
      <c r="V26">
        <f t="shared" si="0"/>
        <v>1</v>
      </c>
      <c r="W26">
        <f t="shared" si="0"/>
        <v>0.52792438117517282</v>
      </c>
      <c r="X26">
        <f t="shared" si="0"/>
        <v>0.59184145589142501</v>
      </c>
      <c r="Y26">
        <f t="shared" si="0"/>
        <v>0.18570627458210423</v>
      </c>
      <c r="Z26" s="35">
        <f t="shared" si="3"/>
        <v>0.7931034482758621</v>
      </c>
      <c r="AA26">
        <f t="shared" si="0"/>
        <v>0.5207706008737949</v>
      </c>
    </row>
    <row r="27" spans="1:27" x14ac:dyDescent="0.25">
      <c r="C27">
        <f t="shared" si="1"/>
        <v>1</v>
      </c>
      <c r="D27">
        <f t="shared" si="0"/>
        <v>1</v>
      </c>
      <c r="E27">
        <f t="shared" si="0"/>
        <v>1</v>
      </c>
      <c r="F27">
        <f t="shared" si="0"/>
        <v>1</v>
      </c>
      <c r="G27">
        <f t="shared" si="0"/>
        <v>1</v>
      </c>
      <c r="H27">
        <f t="shared" si="0"/>
        <v>0.46186891242397199</v>
      </c>
      <c r="I27">
        <f t="shared" si="0"/>
        <v>0.91803278688524592</v>
      </c>
      <c r="J27">
        <f t="shared" si="0"/>
        <v>0.72950819672131151</v>
      </c>
      <c r="K27">
        <f t="shared" si="0"/>
        <v>1</v>
      </c>
      <c r="L27">
        <f t="shared" si="0"/>
        <v>1</v>
      </c>
      <c r="M27">
        <f t="shared" si="0"/>
        <v>1</v>
      </c>
      <c r="N27">
        <f t="shared" si="0"/>
        <v>0.90322580645161299</v>
      </c>
      <c r="O27">
        <f t="shared" si="0"/>
        <v>0.49640158330334644</v>
      </c>
      <c r="P27">
        <f t="shared" si="0"/>
        <v>0.21052631578947362</v>
      </c>
      <c r="Q27">
        <f t="shared" si="0"/>
        <v>0.12809080288528527</v>
      </c>
      <c r="R27">
        <f t="shared" si="0"/>
        <v>5.381218038121803E-2</v>
      </c>
      <c r="S27">
        <f t="shared" si="0"/>
        <v>1</v>
      </c>
      <c r="T27" s="35">
        <f t="shared" si="2"/>
        <v>0.9</v>
      </c>
      <c r="U27">
        <f t="shared" si="0"/>
        <v>1</v>
      </c>
      <c r="V27">
        <f t="shared" si="0"/>
        <v>0.40868831716575282</v>
      </c>
      <c r="W27">
        <f t="shared" si="0"/>
        <v>1</v>
      </c>
      <c r="X27">
        <f t="shared" si="0"/>
        <v>0.95465761875385569</v>
      </c>
      <c r="Y27">
        <f t="shared" si="0"/>
        <v>1</v>
      </c>
      <c r="Z27" s="35">
        <f t="shared" si="3"/>
        <v>0.81034482758620696</v>
      </c>
      <c r="AA27">
        <f t="shared" si="0"/>
        <v>1</v>
      </c>
    </row>
    <row r="28" spans="1:27" x14ac:dyDescent="0.25">
      <c r="C28">
        <f t="shared" si="1"/>
        <v>0.12999364303788002</v>
      </c>
      <c r="D28">
        <f t="shared" si="0"/>
        <v>0.22222222222222221</v>
      </c>
      <c r="E28">
        <f t="shared" si="0"/>
        <v>0.18479034358678292</v>
      </c>
      <c r="F28">
        <f t="shared" si="0"/>
        <v>0</v>
      </c>
      <c r="G28">
        <f t="shared" si="0"/>
        <v>0.35002503755633452</v>
      </c>
      <c r="H28">
        <f t="shared" si="0"/>
        <v>0.14656969078303791</v>
      </c>
      <c r="I28">
        <f t="shared" si="0"/>
        <v>0.3606557377049181</v>
      </c>
      <c r="J28">
        <f t="shared" si="0"/>
        <v>0.39344262295081966</v>
      </c>
      <c r="K28">
        <f t="shared" si="0"/>
        <v>0.13793103448275862</v>
      </c>
      <c r="L28">
        <f t="shared" si="0"/>
        <v>2.573529411764703E-2</v>
      </c>
      <c r="M28">
        <f t="shared" si="0"/>
        <v>0.2</v>
      </c>
      <c r="N28">
        <f t="shared" si="0"/>
        <v>0.67741935483870974</v>
      </c>
      <c r="O28">
        <f t="shared" si="0"/>
        <v>0.83082943504857854</v>
      </c>
      <c r="P28">
        <f t="shared" si="0"/>
        <v>1</v>
      </c>
      <c r="Q28">
        <f t="shared" si="0"/>
        <v>0</v>
      </c>
      <c r="R28">
        <f t="shared" si="0"/>
        <v>0</v>
      </c>
      <c r="S28">
        <f t="shared" si="0"/>
        <v>0.64150943396226423</v>
      </c>
      <c r="T28" s="35">
        <f t="shared" si="2"/>
        <v>0.76666666666666672</v>
      </c>
      <c r="U28">
        <f t="shared" si="0"/>
        <v>0.4025044722719141</v>
      </c>
      <c r="V28">
        <f t="shared" si="0"/>
        <v>0.25896246309574017</v>
      </c>
      <c r="W28">
        <f t="shared" si="0"/>
        <v>0.2581899789842047</v>
      </c>
      <c r="X28">
        <f t="shared" si="0"/>
        <v>0.52290252930289949</v>
      </c>
      <c r="Y28">
        <f t="shared" si="0"/>
        <v>0.145418510324484</v>
      </c>
      <c r="Z28" s="35">
        <f t="shared" si="3"/>
        <v>0.48275862068965508</v>
      </c>
      <c r="AA28">
        <f t="shared" si="0"/>
        <v>0.17717909601361045</v>
      </c>
    </row>
    <row r="29" spans="1:27" x14ac:dyDescent="0.25">
      <c r="C29">
        <f t="shared" si="1"/>
        <v>3.0575741333964873E-2</v>
      </c>
      <c r="D29">
        <f t="shared" si="0"/>
        <v>0</v>
      </c>
      <c r="E29">
        <f t="shared" si="0"/>
        <v>0.18940909518119209</v>
      </c>
      <c r="F29">
        <f t="shared" si="0"/>
        <v>2.7397260273972601E-2</v>
      </c>
      <c r="G29">
        <f t="shared" si="0"/>
        <v>8.5628442663995996E-2</v>
      </c>
      <c r="H29">
        <f t="shared" si="0"/>
        <v>0.64425162689804794</v>
      </c>
      <c r="I29">
        <f t="shared" si="0"/>
        <v>1</v>
      </c>
      <c r="J29">
        <f t="shared" si="0"/>
        <v>0.78688524590163933</v>
      </c>
      <c r="K29">
        <f t="shared" si="0"/>
        <v>0.3103448275862068</v>
      </c>
      <c r="L29">
        <f t="shared" si="0"/>
        <v>0.13235294117647062</v>
      </c>
      <c r="M29">
        <f t="shared" si="0"/>
        <v>0.4</v>
      </c>
      <c r="N29">
        <f t="shared" si="0"/>
        <v>0.29032258064516125</v>
      </c>
      <c r="O29">
        <f t="shared" si="0"/>
        <v>0.91953040662108654</v>
      </c>
      <c r="P29">
        <f t="shared" si="0"/>
        <v>1</v>
      </c>
      <c r="Q29">
        <f t="shared" si="0"/>
        <v>9.642983462127952E-2</v>
      </c>
      <c r="R29">
        <f t="shared" si="0"/>
        <v>9.623430962343095E-2</v>
      </c>
      <c r="S29">
        <f t="shared" si="0"/>
        <v>0</v>
      </c>
      <c r="T29" s="35">
        <f t="shared" si="2"/>
        <v>0.40000000000000008</v>
      </c>
      <c r="U29">
        <f t="shared" si="0"/>
        <v>0</v>
      </c>
      <c r="V29">
        <f t="shared" si="0"/>
        <v>0.44074230282581189</v>
      </c>
      <c r="W29">
        <f t="shared" si="0"/>
        <v>0.33618615620156128</v>
      </c>
      <c r="X29">
        <f t="shared" si="0"/>
        <v>0.28678285009253546</v>
      </c>
      <c r="Y29">
        <f t="shared" si="0"/>
        <v>0.12085945181907572</v>
      </c>
      <c r="Z29" s="35">
        <f t="shared" si="3"/>
        <v>0</v>
      </c>
      <c r="AA29">
        <f t="shared" si="0"/>
        <v>0</v>
      </c>
    </row>
    <row r="30" spans="1:27" x14ac:dyDescent="0.25">
      <c r="C30">
        <f t="shared" si="1"/>
        <v>9.4045645480947807E-2</v>
      </c>
      <c r="D30">
        <f t="shared" si="0"/>
        <v>6.3001145475372278E-2</v>
      </c>
      <c r="E30">
        <f t="shared" si="0"/>
        <v>8.7313202379194182E-2</v>
      </c>
      <c r="F30">
        <f t="shared" si="0"/>
        <v>6.8493150684931503E-2</v>
      </c>
      <c r="G30">
        <f t="shared" si="0"/>
        <v>0</v>
      </c>
      <c r="H30">
        <f t="shared" si="0"/>
        <v>1</v>
      </c>
      <c r="I30">
        <f t="shared" si="0"/>
        <v>1</v>
      </c>
      <c r="J30">
        <f t="shared" si="0"/>
        <v>0.71311475409836067</v>
      </c>
      <c r="K30">
        <f t="shared" si="0"/>
        <v>0.81034482758620696</v>
      </c>
      <c r="L30">
        <f t="shared" si="0"/>
        <v>0.60294117647058809</v>
      </c>
      <c r="M30">
        <f t="shared" si="0"/>
        <v>0.4</v>
      </c>
      <c r="N30">
        <f t="shared" si="0"/>
        <v>0.25806451612903236</v>
      </c>
      <c r="O30">
        <f t="shared" si="0"/>
        <v>1</v>
      </c>
      <c r="P30">
        <f t="shared" si="0"/>
        <v>0.36842105263157887</v>
      </c>
      <c r="Q30">
        <f t="shared" si="0"/>
        <v>3.2164714204563724E-2</v>
      </c>
      <c r="R30">
        <f t="shared" si="0"/>
        <v>4.9628079962807999E-2</v>
      </c>
      <c r="S30">
        <f t="shared" si="0"/>
        <v>0.32075471698113212</v>
      </c>
      <c r="T30" s="35">
        <f t="shared" si="2"/>
        <v>0.3000000000000001</v>
      </c>
      <c r="U30">
        <f t="shared" si="0"/>
        <v>0.6440071556350625</v>
      </c>
      <c r="V30">
        <f t="shared" si="0"/>
        <v>0.5967946014339941</v>
      </c>
      <c r="W30">
        <f t="shared" si="0"/>
        <v>0.55822136003575551</v>
      </c>
      <c r="X30">
        <f t="shared" si="0"/>
        <v>0.51472856261566935</v>
      </c>
      <c r="Y30">
        <f t="shared" si="0"/>
        <v>0.41859482546706012</v>
      </c>
      <c r="Z30" s="35">
        <f t="shared" si="3"/>
        <v>0.29310344827586199</v>
      </c>
      <c r="AA30">
        <f t="shared" si="0"/>
        <v>0.1339725721040568</v>
      </c>
    </row>
    <row r="31" spans="1:27" x14ac:dyDescent="0.25">
      <c r="C31">
        <f t="shared" si="1"/>
        <v>0.30050980343275957</v>
      </c>
      <c r="D31">
        <f t="shared" si="0"/>
        <v>0.60595647193585334</v>
      </c>
      <c r="E31">
        <f t="shared" si="0"/>
        <v>0.36122933981390742</v>
      </c>
      <c r="F31">
        <f t="shared" si="0"/>
        <v>0.68493150684931503</v>
      </c>
      <c r="G31">
        <f t="shared" si="0"/>
        <v>0.37596394591887833</v>
      </c>
      <c r="H31">
        <f t="shared" si="0"/>
        <v>0.12831227935859821</v>
      </c>
      <c r="I31">
        <f t="shared" si="0"/>
        <v>0.21311475409836073</v>
      </c>
      <c r="J31">
        <f t="shared" si="0"/>
        <v>0</v>
      </c>
      <c r="K31">
        <f t="shared" si="0"/>
        <v>0.63793103448275856</v>
      </c>
      <c r="L31">
        <f t="shared" si="0"/>
        <v>0.43382352941176455</v>
      </c>
      <c r="M31">
        <f t="shared" si="0"/>
        <v>0.4</v>
      </c>
      <c r="N31">
        <f t="shared" si="0"/>
        <v>0.80645161290322598</v>
      </c>
      <c r="O31">
        <f t="shared" si="0"/>
        <v>0</v>
      </c>
      <c r="P31">
        <f t="shared" si="0"/>
        <v>0</v>
      </c>
      <c r="Q31">
        <f t="shared" si="0"/>
        <v>0.40704815596831762</v>
      </c>
      <c r="R31">
        <f t="shared" si="0"/>
        <v>0.47198977219897725</v>
      </c>
      <c r="S31">
        <f t="shared" si="0"/>
        <v>0.6981132075471701</v>
      </c>
      <c r="T31" s="35">
        <f t="shared" si="2"/>
        <v>0.63333333333333341</v>
      </c>
      <c r="U31">
        <f t="shared" si="0"/>
        <v>0.6440071556350625</v>
      </c>
      <c r="V31">
        <f t="shared" si="0"/>
        <v>8.688317165752843E-2</v>
      </c>
      <c r="W31">
        <f t="shared" si="0"/>
        <v>0.56502058787169884</v>
      </c>
      <c r="X31">
        <f t="shared" si="0"/>
        <v>0.2294879703886489</v>
      </c>
      <c r="Y31">
        <f t="shared" si="0"/>
        <v>0.39103214110127826</v>
      </c>
      <c r="Z31" s="35">
        <f t="shared" si="3"/>
        <v>0.70689655172413801</v>
      </c>
      <c r="AA31">
        <f t="shared" si="0"/>
        <v>0.4415260261499514</v>
      </c>
    </row>
    <row r="32" spans="1:27" x14ac:dyDescent="0.25">
      <c r="C32">
        <f t="shared" si="1"/>
        <v>0.38711406384384311</v>
      </c>
      <c r="D32">
        <f t="shared" si="0"/>
        <v>0.26689576174112256</v>
      </c>
      <c r="E32">
        <f t="shared" si="0"/>
        <v>0.28021321446313735</v>
      </c>
      <c r="F32">
        <f t="shared" si="0"/>
        <v>0.15068493150684931</v>
      </c>
      <c r="G32">
        <f t="shared" si="0"/>
        <v>0.39188783174762143</v>
      </c>
      <c r="H32">
        <f t="shared" si="0"/>
        <v>0</v>
      </c>
      <c r="I32">
        <f t="shared" si="0"/>
        <v>0.57377049180327855</v>
      </c>
      <c r="J32">
        <f t="shared" ref="D32:AA36" si="4">(J13-MIN(J$2:J$17))/(MAX(J$2:J$17)-MIN(J$2:J$17))</f>
        <v>0.61885245901639341</v>
      </c>
      <c r="K32">
        <f t="shared" si="4"/>
        <v>0.50000000000000011</v>
      </c>
      <c r="L32">
        <f t="shared" si="4"/>
        <v>0.48897058823529393</v>
      </c>
      <c r="M32">
        <f t="shared" si="4"/>
        <v>0.4</v>
      </c>
      <c r="N32">
        <f t="shared" si="4"/>
        <v>0.83870967741935487</v>
      </c>
      <c r="O32">
        <f t="shared" si="4"/>
        <v>0.62558474271320597</v>
      </c>
      <c r="P32">
        <f t="shared" si="4"/>
        <v>0.21052631578947362</v>
      </c>
      <c r="Q32">
        <f t="shared" si="4"/>
        <v>6.4650968371185738E-2</v>
      </c>
      <c r="R32">
        <f t="shared" si="4"/>
        <v>3.231055323105532E-2</v>
      </c>
      <c r="S32">
        <f t="shared" si="4"/>
        <v>0.30188679245282996</v>
      </c>
      <c r="T32" s="35">
        <f t="shared" si="2"/>
        <v>1</v>
      </c>
      <c r="U32">
        <f t="shared" si="4"/>
        <v>0.82289803220035773</v>
      </c>
      <c r="V32">
        <f t="shared" si="4"/>
        <v>0.64361029101644873</v>
      </c>
      <c r="W32">
        <f t="shared" si="4"/>
        <v>0.60315332021034829</v>
      </c>
      <c r="X32">
        <f t="shared" si="4"/>
        <v>0</v>
      </c>
      <c r="Y32">
        <f t="shared" si="4"/>
        <v>0.28712665929203518</v>
      </c>
      <c r="Z32" s="35">
        <f t="shared" si="3"/>
        <v>0.8793103448275863</v>
      </c>
      <c r="AA32">
        <f t="shared" si="4"/>
        <v>0.40848315908019961</v>
      </c>
    </row>
    <row r="33" spans="3:27" x14ac:dyDescent="0.25">
      <c r="C33">
        <f t="shared" si="1"/>
        <v>6.6224587732309576E-2</v>
      </c>
      <c r="D33">
        <f t="shared" si="4"/>
        <v>0.11683848797250859</v>
      </c>
      <c r="E33">
        <f t="shared" si="4"/>
        <v>7.7189543361215932E-2</v>
      </c>
      <c r="F33">
        <f t="shared" si="4"/>
        <v>6.8493150684931503E-2</v>
      </c>
      <c r="G33">
        <f t="shared" si="4"/>
        <v>2.0630946419629443E-2</v>
      </c>
      <c r="H33">
        <f t="shared" si="4"/>
        <v>0.30622899919186769</v>
      </c>
      <c r="I33">
        <f t="shared" si="4"/>
        <v>0.86885245901639341</v>
      </c>
      <c r="J33">
        <f t="shared" si="4"/>
        <v>1</v>
      </c>
      <c r="K33">
        <f t="shared" si="4"/>
        <v>0.39655172413793094</v>
      </c>
      <c r="L33">
        <f t="shared" si="4"/>
        <v>0.26470588235294124</v>
      </c>
      <c r="M33">
        <f t="shared" si="4"/>
        <v>0.2</v>
      </c>
      <c r="N33">
        <f t="shared" si="4"/>
        <v>9.6774193548387177E-2</v>
      </c>
      <c r="O33">
        <f t="shared" si="4"/>
        <v>0.70578445483987029</v>
      </c>
      <c r="P33">
        <f t="shared" si="4"/>
        <v>0.47368421052631582</v>
      </c>
      <c r="Q33">
        <f t="shared" si="4"/>
        <v>9.9752414229215117E-2</v>
      </c>
      <c r="R33">
        <f t="shared" si="4"/>
        <v>9.4374709437470922E-2</v>
      </c>
      <c r="S33">
        <f t="shared" si="4"/>
        <v>0.2641509433962263</v>
      </c>
      <c r="T33" s="35">
        <f t="shared" si="2"/>
        <v>0.3000000000000001</v>
      </c>
      <c r="U33">
        <f t="shared" si="4"/>
        <v>0.4025044722719141</v>
      </c>
      <c r="V33">
        <f t="shared" si="4"/>
        <v>0.57444116406579515</v>
      </c>
      <c r="W33">
        <f t="shared" si="4"/>
        <v>0</v>
      </c>
      <c r="X33">
        <f t="shared" si="4"/>
        <v>0.31184454040715603</v>
      </c>
      <c r="Y33">
        <f t="shared" si="4"/>
        <v>0</v>
      </c>
      <c r="Z33" s="35">
        <f t="shared" si="3"/>
        <v>0.18965517241379307</v>
      </c>
      <c r="AA33">
        <f t="shared" si="4"/>
        <v>5.9700002396147284E-2</v>
      </c>
    </row>
    <row r="34" spans="3:27" x14ac:dyDescent="0.25">
      <c r="C34">
        <f t="shared" si="1"/>
        <v>1.9232926570855197E-2</v>
      </c>
      <c r="D34">
        <f t="shared" si="4"/>
        <v>8.5910652920962199E-2</v>
      </c>
      <c r="E34">
        <f t="shared" si="4"/>
        <v>0</v>
      </c>
      <c r="F34">
        <f t="shared" si="4"/>
        <v>9.5890410958904104E-2</v>
      </c>
      <c r="G34">
        <f t="shared" si="4"/>
        <v>1.602403605408112E-2</v>
      </c>
      <c r="H34">
        <f t="shared" si="4"/>
        <v>0.31485262217685361</v>
      </c>
      <c r="I34">
        <f t="shared" si="4"/>
        <v>0.24590163934426224</v>
      </c>
      <c r="J34">
        <f t="shared" si="4"/>
        <v>0.2950819672131148</v>
      </c>
      <c r="K34">
        <f t="shared" si="4"/>
        <v>0.12068965517241369</v>
      </c>
      <c r="L34">
        <f t="shared" si="4"/>
        <v>5.147058823529406E-2</v>
      </c>
      <c r="M34">
        <f t="shared" si="4"/>
        <v>0.2</v>
      </c>
      <c r="N34">
        <f t="shared" si="4"/>
        <v>0.5161290322580645</v>
      </c>
      <c r="O34">
        <f t="shared" si="4"/>
        <v>0.33793630802446906</v>
      </c>
      <c r="P34">
        <f t="shared" si="4"/>
        <v>0.42105263157894735</v>
      </c>
      <c r="Q34">
        <f t="shared" si="4"/>
        <v>0.1870290779305688</v>
      </c>
      <c r="R34">
        <f t="shared" si="4"/>
        <v>0.26011157601115764</v>
      </c>
      <c r="S34">
        <f t="shared" si="4"/>
        <v>0.15094339622641464</v>
      </c>
      <c r="T34" s="35">
        <f t="shared" si="2"/>
        <v>0</v>
      </c>
      <c r="U34">
        <f t="shared" si="4"/>
        <v>0.53667262969588547</v>
      </c>
      <c r="V34">
        <f t="shared" si="4"/>
        <v>0.10670603121045971</v>
      </c>
      <c r="W34">
        <f t="shared" si="4"/>
        <v>9.9601555739403963E-2</v>
      </c>
      <c r="X34">
        <f t="shared" si="4"/>
        <v>0.47015731030228231</v>
      </c>
      <c r="Y34">
        <f t="shared" si="4"/>
        <v>5.2252335299901337E-2</v>
      </c>
      <c r="Z34" s="35">
        <f t="shared" si="3"/>
        <v>5.1724137931034309E-2</v>
      </c>
      <c r="AA34">
        <f t="shared" si="4"/>
        <v>5.8785472959482186E-3</v>
      </c>
    </row>
    <row r="35" spans="3:27" x14ac:dyDescent="0.25">
      <c r="C35">
        <f t="shared" si="1"/>
        <v>0.4059730514664639</v>
      </c>
      <c r="D35">
        <f t="shared" si="4"/>
        <v>0.51890034364261173</v>
      </c>
      <c r="E35">
        <f t="shared" si="4"/>
        <v>0.35477114354381778</v>
      </c>
      <c r="F35">
        <f t="shared" si="4"/>
        <v>0.46575342465753422</v>
      </c>
      <c r="G35">
        <f t="shared" si="4"/>
        <v>0.31967951927891836</v>
      </c>
      <c r="H35">
        <f t="shared" si="4"/>
        <v>0.29555314533622568</v>
      </c>
      <c r="I35">
        <f t="shared" si="4"/>
        <v>0.77049180327868849</v>
      </c>
      <c r="J35">
        <f t="shared" si="4"/>
        <v>9.0163934426229608E-2</v>
      </c>
      <c r="K35">
        <f t="shared" si="4"/>
        <v>0.41379310344827602</v>
      </c>
      <c r="L35">
        <f t="shared" si="4"/>
        <v>0.20955882352941171</v>
      </c>
      <c r="M35">
        <f t="shared" si="4"/>
        <v>0.2</v>
      </c>
      <c r="N35">
        <f t="shared" si="4"/>
        <v>0.38709677419354827</v>
      </c>
      <c r="O35">
        <f t="shared" si="4"/>
        <v>0.53562432529686921</v>
      </c>
      <c r="P35">
        <f t="shared" si="4"/>
        <v>0.26315789473684209</v>
      </c>
      <c r="Q35">
        <f t="shared" si="4"/>
        <v>2.9838908479008799E-2</v>
      </c>
      <c r="R35">
        <f t="shared" si="4"/>
        <v>3.7192003719200367E-2</v>
      </c>
      <c r="S35">
        <f t="shared" si="4"/>
        <v>0.67924528301886788</v>
      </c>
      <c r="T35" s="35">
        <f t="shared" si="2"/>
        <v>0.73333333333333339</v>
      </c>
      <c r="U35">
        <f t="shared" si="4"/>
        <v>0.4025044722719141</v>
      </c>
      <c r="V35">
        <f t="shared" si="4"/>
        <v>0.51876845212990308</v>
      </c>
      <c r="W35">
        <f t="shared" si="4"/>
        <v>0.54898772335225721</v>
      </c>
      <c r="X35">
        <f t="shared" si="4"/>
        <v>0.26765885256014788</v>
      </c>
      <c r="Y35">
        <f t="shared" si="4"/>
        <v>0.13994515117994122</v>
      </c>
      <c r="Z35" s="35">
        <f t="shared" si="3"/>
        <v>1</v>
      </c>
      <c r="AA35">
        <f t="shared" si="4"/>
        <v>9.7654970806942715E-2</v>
      </c>
    </row>
    <row r="36" spans="3:27" x14ac:dyDescent="0.25">
      <c r="C36">
        <f t="shared" si="1"/>
        <v>0.14788038939509143</v>
      </c>
      <c r="D36">
        <f t="shared" si="4"/>
        <v>0.61168384879725091</v>
      </c>
      <c r="E36">
        <f t="shared" si="4"/>
        <v>0.21216718806643489</v>
      </c>
      <c r="F36">
        <f t="shared" si="4"/>
        <v>0.45205479452054792</v>
      </c>
      <c r="G36">
        <f t="shared" si="4"/>
        <v>0.16314471707561343</v>
      </c>
      <c r="H36">
        <f t="shared" si="4"/>
        <v>0.39989792012249609</v>
      </c>
      <c r="I36">
        <f t="shared" si="4"/>
        <v>0.31147540983606559</v>
      </c>
      <c r="J36">
        <f t="shared" si="4"/>
        <v>9.4262295081967359E-2</v>
      </c>
      <c r="K36">
        <f t="shared" si="4"/>
        <v>0.74137931034482751</v>
      </c>
      <c r="L36">
        <f t="shared" si="4"/>
        <v>0.33088235294117646</v>
      </c>
      <c r="M36">
        <f t="shared" si="4"/>
        <v>0.2</v>
      </c>
      <c r="N36">
        <f t="shared" si="4"/>
        <v>1</v>
      </c>
      <c r="O36">
        <f t="shared" si="4"/>
        <v>0.69494422454120175</v>
      </c>
      <c r="P36">
        <f t="shared" si="4"/>
        <v>0.42105263157894735</v>
      </c>
      <c r="Q36">
        <f t="shared" si="4"/>
        <v>1</v>
      </c>
      <c r="R36">
        <f t="shared" si="4"/>
        <v>1</v>
      </c>
      <c r="S36">
        <f t="shared" si="4"/>
        <v>0.50943396226415105</v>
      </c>
      <c r="T36" s="35">
        <f t="shared" si="2"/>
        <v>0.63333333333333341</v>
      </c>
      <c r="U36">
        <f t="shared" si="4"/>
        <v>0.82289803220035773</v>
      </c>
      <c r="V36">
        <f t="shared" si="4"/>
        <v>4.2176296921130327E-2</v>
      </c>
      <c r="W36">
        <f t="shared" si="4"/>
        <v>0.12713129641780507</v>
      </c>
      <c r="X36">
        <f t="shared" si="4"/>
        <v>0.68576495990129549</v>
      </c>
      <c r="Y36">
        <f t="shared" si="4"/>
        <v>0.3090508235004914</v>
      </c>
      <c r="Z36" s="35">
        <f t="shared" si="3"/>
        <v>0.32758620689655171</v>
      </c>
      <c r="AA36">
        <f t="shared" si="4"/>
        <v>0.20474277362001916</v>
      </c>
    </row>
    <row r="40" spans="3:27" x14ac:dyDescent="0.25">
      <c r="C40">
        <f>C21*100</f>
        <v>42.956859910005356</v>
      </c>
      <c r="D40">
        <f t="shared" ref="D40:AA51" si="5">D21*100</f>
        <v>63.115693012600225</v>
      </c>
      <c r="E40">
        <f t="shared" si="5"/>
        <v>35.679856066810785</v>
      </c>
      <c r="F40">
        <f t="shared" si="5"/>
        <v>56.164383561643838</v>
      </c>
      <c r="G40">
        <f t="shared" si="5"/>
        <v>39.549323985978965</v>
      </c>
      <c r="H40">
        <f t="shared" si="5"/>
        <v>38.088554293734859</v>
      </c>
      <c r="I40">
        <f t="shared" si="5"/>
        <v>24.590163934426222</v>
      </c>
      <c r="J40">
        <f t="shared" si="5"/>
        <v>40.573770491803288</v>
      </c>
      <c r="K40">
        <f t="shared" si="5"/>
        <v>74.137931034482747</v>
      </c>
      <c r="L40">
        <f t="shared" si="5"/>
        <v>52.205882352941181</v>
      </c>
      <c r="M40">
        <f t="shared" si="5"/>
        <v>40</v>
      </c>
      <c r="N40">
        <f t="shared" si="5"/>
        <v>51.612903225806448</v>
      </c>
      <c r="O40">
        <f t="shared" si="5"/>
        <v>33.528247571068732</v>
      </c>
      <c r="P40">
        <f t="shared" si="5"/>
        <v>36.84210526315789</v>
      </c>
      <c r="Q40">
        <f t="shared" si="5"/>
        <v>33.10468269364744</v>
      </c>
      <c r="R40">
        <f t="shared" si="5"/>
        <v>24.883774988377503</v>
      </c>
      <c r="S40">
        <f t="shared" si="5"/>
        <v>68.867924528301899</v>
      </c>
      <c r="T40">
        <f t="shared" si="5"/>
        <v>96.666666666666686</v>
      </c>
      <c r="U40">
        <f t="shared" si="5"/>
        <v>98.389982110912328</v>
      </c>
      <c r="V40">
        <f t="shared" si="5"/>
        <v>37.832138338253898</v>
      </c>
      <c r="W40">
        <f t="shared" si="5"/>
        <v>36.093914928822073</v>
      </c>
      <c r="X40">
        <f t="shared" si="5"/>
        <v>100</v>
      </c>
      <c r="Y40">
        <f t="shared" si="5"/>
        <v>49.135401302851548</v>
      </c>
      <c r="Z40">
        <f t="shared" si="5"/>
        <v>70.689655172413808</v>
      </c>
      <c r="AA40">
        <f t="shared" si="5"/>
        <v>54.023929521329691</v>
      </c>
    </row>
    <row r="41" spans="3:27" x14ac:dyDescent="0.25">
      <c r="C41">
        <f t="shared" ref="C41:R55" si="6">C22*100</f>
        <v>12.84978872449425</v>
      </c>
      <c r="D41">
        <f t="shared" si="6"/>
        <v>13.860252004581902</v>
      </c>
      <c r="E41">
        <f t="shared" si="6"/>
        <v>15.954832905919798</v>
      </c>
      <c r="F41">
        <f t="shared" si="6"/>
        <v>19.17808219178082</v>
      </c>
      <c r="G41">
        <f t="shared" si="6"/>
        <v>16.514772158237356</v>
      </c>
      <c r="H41">
        <f t="shared" si="6"/>
        <v>29.784994258006908</v>
      </c>
      <c r="I41">
        <f t="shared" si="6"/>
        <v>49.180327868852444</v>
      </c>
      <c r="J41">
        <f t="shared" si="6"/>
        <v>38.114754098360663</v>
      </c>
      <c r="K41">
        <f t="shared" si="6"/>
        <v>0</v>
      </c>
      <c r="L41">
        <f t="shared" si="6"/>
        <v>23.897058823529409</v>
      </c>
      <c r="M41">
        <f t="shared" si="6"/>
        <v>40</v>
      </c>
      <c r="N41">
        <f t="shared" si="6"/>
        <v>16.129032258064516</v>
      </c>
      <c r="O41">
        <f t="shared" si="6"/>
        <v>60.408420295070165</v>
      </c>
      <c r="P41">
        <f t="shared" si="6"/>
        <v>31.578947368421044</v>
      </c>
      <c r="Q41">
        <f t="shared" si="6"/>
        <v>16.579672243598676</v>
      </c>
      <c r="R41">
        <f t="shared" si="6"/>
        <v>9.3793584379358439</v>
      </c>
      <c r="S41">
        <f t="shared" si="5"/>
        <v>61.320754716981163</v>
      </c>
      <c r="T41">
        <f t="shared" si="5"/>
        <v>20.000000000000018</v>
      </c>
      <c r="U41">
        <f t="shared" si="5"/>
        <v>53.667262969588549</v>
      </c>
      <c r="V41">
        <f t="shared" si="5"/>
        <v>58.161113454238723</v>
      </c>
      <c r="W41">
        <f t="shared" si="5"/>
        <v>31.672990424024555</v>
      </c>
      <c r="X41">
        <f t="shared" si="5"/>
        <v>31.346391116594674</v>
      </c>
      <c r="Y41">
        <f t="shared" si="5"/>
        <v>25.035336774827911</v>
      </c>
      <c r="Z41">
        <f t="shared" si="5"/>
        <v>24.137931034482754</v>
      </c>
      <c r="AA41">
        <f t="shared" si="5"/>
        <v>7.8310077395548028</v>
      </c>
    </row>
    <row r="42" spans="3:27" x14ac:dyDescent="0.25">
      <c r="C42">
        <f t="shared" si="6"/>
        <v>0</v>
      </c>
      <c r="D42">
        <f t="shared" si="5"/>
        <v>5.2691867124856815</v>
      </c>
      <c r="E42">
        <f t="shared" si="5"/>
        <v>1.1103801071443009</v>
      </c>
      <c r="F42">
        <f t="shared" si="5"/>
        <v>6.8493150684931505</v>
      </c>
      <c r="G42">
        <f t="shared" si="5"/>
        <v>4.0060090135202807E-2</v>
      </c>
      <c r="H42">
        <f t="shared" si="5"/>
        <v>57.406107779337354</v>
      </c>
      <c r="I42">
        <f t="shared" si="5"/>
        <v>98.360655737704889</v>
      </c>
      <c r="J42">
        <f t="shared" si="5"/>
        <v>92.622950819672141</v>
      </c>
      <c r="K42">
        <f t="shared" si="5"/>
        <v>72.41379310344827</v>
      </c>
      <c r="L42">
        <f t="shared" si="5"/>
        <v>51.102941176470573</v>
      </c>
      <c r="M42">
        <f t="shared" si="5"/>
        <v>0</v>
      </c>
      <c r="N42">
        <f t="shared" si="5"/>
        <v>0</v>
      </c>
      <c r="O42">
        <f t="shared" si="5"/>
        <v>54.052716804605957</v>
      </c>
      <c r="P42">
        <f t="shared" si="5"/>
        <v>78.947368421052616</v>
      </c>
      <c r="Q42">
        <f t="shared" si="5"/>
        <v>3.8788437422964379</v>
      </c>
      <c r="R42">
        <f t="shared" si="5"/>
        <v>5.8809855880985573</v>
      </c>
      <c r="S42">
        <f t="shared" si="5"/>
        <v>37.73584905660379</v>
      </c>
      <c r="T42">
        <f t="shared" si="5"/>
        <v>56.666666666666679</v>
      </c>
      <c r="U42">
        <f t="shared" si="5"/>
        <v>53.667262969588549</v>
      </c>
      <c r="V42">
        <f t="shared" si="5"/>
        <v>57.528469000421765</v>
      </c>
      <c r="W42">
        <f t="shared" si="5"/>
        <v>40.464439562947547</v>
      </c>
      <c r="X42">
        <f t="shared" si="5"/>
        <v>37.291795188155469</v>
      </c>
      <c r="Y42">
        <f t="shared" si="5"/>
        <v>8.4251321288102456</v>
      </c>
      <c r="Z42">
        <f t="shared" si="5"/>
        <v>22.413793103448263</v>
      </c>
      <c r="AA42">
        <f t="shared" si="5"/>
        <v>10.237937396666187</v>
      </c>
    </row>
    <row r="43" spans="3:27" x14ac:dyDescent="0.25">
      <c r="C43">
        <f t="shared" si="6"/>
        <v>12.344971144377828</v>
      </c>
      <c r="D43">
        <f t="shared" si="5"/>
        <v>39.862542955326461</v>
      </c>
      <c r="E43">
        <f t="shared" si="5"/>
        <v>18.774419635064923</v>
      </c>
      <c r="F43">
        <f t="shared" si="5"/>
        <v>42.465753424657535</v>
      </c>
      <c r="G43">
        <f t="shared" si="5"/>
        <v>23.144717075613418</v>
      </c>
      <c r="H43">
        <f t="shared" si="5"/>
        <v>50.401939517672588</v>
      </c>
      <c r="I43">
        <f t="shared" si="5"/>
        <v>0</v>
      </c>
      <c r="J43">
        <f t="shared" si="5"/>
        <v>4.9180327868852558</v>
      </c>
      <c r="K43">
        <f t="shared" si="5"/>
        <v>25.862068965517249</v>
      </c>
      <c r="L43">
        <f t="shared" si="5"/>
        <v>0</v>
      </c>
      <c r="M43">
        <f t="shared" si="5"/>
        <v>20</v>
      </c>
      <c r="N43">
        <f t="shared" si="5"/>
        <v>48.387096774193559</v>
      </c>
      <c r="O43">
        <f t="shared" si="5"/>
        <v>82.543181000359823</v>
      </c>
      <c r="P43">
        <f t="shared" si="5"/>
        <v>57.894736842105253</v>
      </c>
      <c r="Q43">
        <f t="shared" si="5"/>
        <v>7.3043161380906954</v>
      </c>
      <c r="R43">
        <f t="shared" si="5"/>
        <v>11.599256159925618</v>
      </c>
      <c r="S43">
        <f t="shared" si="5"/>
        <v>36.792452830188687</v>
      </c>
      <c r="T43">
        <f t="shared" si="5"/>
        <v>60.000000000000007</v>
      </c>
      <c r="U43">
        <f t="shared" si="5"/>
        <v>64.400715563506253</v>
      </c>
      <c r="V43">
        <f t="shared" si="5"/>
        <v>0</v>
      </c>
      <c r="W43">
        <f t="shared" si="5"/>
        <v>32.553561749350983</v>
      </c>
      <c r="X43">
        <f t="shared" si="5"/>
        <v>46.637877853177017</v>
      </c>
      <c r="Y43">
        <f t="shared" si="5"/>
        <v>26.253303220255674</v>
      </c>
      <c r="Z43">
        <f t="shared" si="5"/>
        <v>72.41379310344827</v>
      </c>
      <c r="AA43">
        <f t="shared" si="5"/>
        <v>14.876079264542618</v>
      </c>
    </row>
    <row r="44" spans="3:27" x14ac:dyDescent="0.25">
      <c r="C44">
        <f t="shared" si="6"/>
        <v>29.437720468171563</v>
      </c>
      <c r="D44">
        <f t="shared" si="5"/>
        <v>22.680412371134022</v>
      </c>
      <c r="E44">
        <f t="shared" si="5"/>
        <v>20.831375286993655</v>
      </c>
      <c r="F44">
        <f t="shared" si="5"/>
        <v>19.17808219178082</v>
      </c>
      <c r="G44">
        <f t="shared" si="5"/>
        <v>15.863795693540311</v>
      </c>
      <c r="H44">
        <f t="shared" si="5"/>
        <v>50.494449406660735</v>
      </c>
      <c r="I44">
        <f t="shared" si="5"/>
        <v>98.360655737704889</v>
      </c>
      <c r="J44">
        <f t="shared" si="5"/>
        <v>39.754098360655739</v>
      </c>
      <c r="K44">
        <f t="shared" si="5"/>
        <v>89.65517241379311</v>
      </c>
      <c r="L44">
        <f t="shared" si="5"/>
        <v>66.544117647058826</v>
      </c>
      <c r="M44">
        <f t="shared" si="5"/>
        <v>20</v>
      </c>
      <c r="N44">
        <f t="shared" si="5"/>
        <v>64.516129032258078</v>
      </c>
      <c r="O44">
        <f t="shared" si="5"/>
        <v>55.087261604893833</v>
      </c>
      <c r="P44">
        <f t="shared" si="5"/>
        <v>31.578947368421044</v>
      </c>
      <c r="Q44">
        <f t="shared" si="5"/>
        <v>2.8209772671246824</v>
      </c>
      <c r="R44">
        <f t="shared" si="5"/>
        <v>1.7317526731752659</v>
      </c>
      <c r="S44">
        <f t="shared" si="5"/>
        <v>32.075471698113212</v>
      </c>
      <c r="T44">
        <f t="shared" si="5"/>
        <v>70</v>
      </c>
      <c r="U44">
        <f t="shared" si="5"/>
        <v>96.60107334525938</v>
      </c>
      <c r="V44">
        <f t="shared" si="5"/>
        <v>50.274145929987348</v>
      </c>
      <c r="W44">
        <f t="shared" si="5"/>
        <v>16.438916307686448</v>
      </c>
      <c r="X44">
        <f t="shared" si="5"/>
        <v>38.271128932757556</v>
      </c>
      <c r="Y44">
        <f t="shared" si="5"/>
        <v>30.986894665683401</v>
      </c>
      <c r="Z44">
        <f t="shared" si="5"/>
        <v>56.896551724137922</v>
      </c>
      <c r="AA44">
        <f t="shared" si="5"/>
        <v>23.227849617814563</v>
      </c>
    </row>
    <row r="45" spans="3:27" x14ac:dyDescent="0.25">
      <c r="C45">
        <f t="shared" si="6"/>
        <v>22.987273611128423</v>
      </c>
      <c r="D45">
        <f t="shared" si="5"/>
        <v>47.880870561282933</v>
      </c>
      <c r="E45">
        <f t="shared" si="5"/>
        <v>28.021321446313735</v>
      </c>
      <c r="F45">
        <f t="shared" si="5"/>
        <v>52.054794520547944</v>
      </c>
      <c r="G45">
        <f t="shared" si="5"/>
        <v>12.448673009514271</v>
      </c>
      <c r="H45">
        <f t="shared" si="5"/>
        <v>15.498064735655653</v>
      </c>
      <c r="I45">
        <f t="shared" si="5"/>
        <v>67.21311475409837</v>
      </c>
      <c r="J45">
        <f t="shared" si="5"/>
        <v>46.311475409836071</v>
      </c>
      <c r="K45">
        <f t="shared" si="5"/>
        <v>58.620689655172434</v>
      </c>
      <c r="L45">
        <f t="shared" si="5"/>
        <v>44.485294117647065</v>
      </c>
      <c r="M45">
        <f t="shared" si="5"/>
        <v>100</v>
      </c>
      <c r="N45">
        <f t="shared" si="5"/>
        <v>54.838709677419338</v>
      </c>
      <c r="O45">
        <f t="shared" si="5"/>
        <v>56.202770780856412</v>
      </c>
      <c r="P45">
        <f t="shared" si="5"/>
        <v>42.105263157894733</v>
      </c>
      <c r="Q45">
        <f t="shared" si="5"/>
        <v>39.591215528236567</v>
      </c>
      <c r="R45">
        <f t="shared" si="5"/>
        <v>25.244072524407251</v>
      </c>
      <c r="S45">
        <f t="shared" si="5"/>
        <v>62.264150943396203</v>
      </c>
      <c r="T45">
        <f t="shared" si="5"/>
        <v>83.333333333333343</v>
      </c>
      <c r="U45">
        <f t="shared" si="5"/>
        <v>40.250447227191408</v>
      </c>
      <c r="V45">
        <f t="shared" si="5"/>
        <v>100</v>
      </c>
      <c r="W45">
        <f t="shared" si="5"/>
        <v>52.792438117517278</v>
      </c>
      <c r="X45">
        <f t="shared" si="5"/>
        <v>59.184145589142503</v>
      </c>
      <c r="Y45">
        <f t="shared" si="5"/>
        <v>18.570627458210424</v>
      </c>
      <c r="Z45">
        <f t="shared" si="5"/>
        <v>79.310344827586206</v>
      </c>
      <c r="AA45">
        <f t="shared" si="5"/>
        <v>52.077060087379493</v>
      </c>
    </row>
    <row r="46" spans="3:27" x14ac:dyDescent="0.25">
      <c r="C46">
        <f t="shared" si="6"/>
        <v>100</v>
      </c>
      <c r="D46">
        <f t="shared" si="5"/>
        <v>100</v>
      </c>
      <c r="E46">
        <f t="shared" si="5"/>
        <v>100</v>
      </c>
      <c r="F46">
        <f t="shared" si="5"/>
        <v>100</v>
      </c>
      <c r="G46">
        <f t="shared" si="5"/>
        <v>100</v>
      </c>
      <c r="H46">
        <f t="shared" si="5"/>
        <v>46.186891242397202</v>
      </c>
      <c r="I46">
        <f t="shared" si="5"/>
        <v>91.803278688524586</v>
      </c>
      <c r="J46">
        <f t="shared" si="5"/>
        <v>72.950819672131146</v>
      </c>
      <c r="K46">
        <f t="shared" si="5"/>
        <v>100</v>
      </c>
      <c r="L46">
        <f t="shared" si="5"/>
        <v>100</v>
      </c>
      <c r="M46">
        <f t="shared" si="5"/>
        <v>100</v>
      </c>
      <c r="N46">
        <f t="shared" si="5"/>
        <v>90.322580645161295</v>
      </c>
      <c r="O46">
        <f t="shared" si="5"/>
        <v>49.640158330334643</v>
      </c>
      <c r="P46">
        <f t="shared" si="5"/>
        <v>21.052631578947363</v>
      </c>
      <c r="Q46">
        <f t="shared" si="5"/>
        <v>12.809080288528527</v>
      </c>
      <c r="R46">
        <f t="shared" si="5"/>
        <v>5.3812180381218031</v>
      </c>
      <c r="S46">
        <f t="shared" si="5"/>
        <v>100</v>
      </c>
      <c r="T46">
        <f t="shared" si="5"/>
        <v>90</v>
      </c>
      <c r="U46">
        <f t="shared" si="5"/>
        <v>100</v>
      </c>
      <c r="V46">
        <f t="shared" si="5"/>
        <v>40.868831716575279</v>
      </c>
      <c r="W46">
        <f t="shared" si="5"/>
        <v>100</v>
      </c>
      <c r="X46">
        <f t="shared" si="5"/>
        <v>95.465761875385567</v>
      </c>
      <c r="Y46">
        <f t="shared" si="5"/>
        <v>100</v>
      </c>
      <c r="Z46">
        <f t="shared" si="5"/>
        <v>81.034482758620697</v>
      </c>
      <c r="AA46">
        <f t="shared" si="5"/>
        <v>100</v>
      </c>
    </row>
    <row r="47" spans="3:27" x14ac:dyDescent="0.25">
      <c r="C47">
        <f t="shared" si="6"/>
        <v>12.999364303788003</v>
      </c>
      <c r="D47">
        <f t="shared" si="5"/>
        <v>22.222222222222221</v>
      </c>
      <c r="E47">
        <f t="shared" si="5"/>
        <v>18.479034358678291</v>
      </c>
      <c r="F47">
        <f t="shared" si="5"/>
        <v>0</v>
      </c>
      <c r="G47">
        <f t="shared" si="5"/>
        <v>35.002503755633455</v>
      </c>
      <c r="H47">
        <f t="shared" si="5"/>
        <v>14.656969078303792</v>
      </c>
      <c r="I47">
        <f t="shared" si="5"/>
        <v>36.06557377049181</v>
      </c>
      <c r="J47">
        <f t="shared" si="5"/>
        <v>39.344262295081968</v>
      </c>
      <c r="K47">
        <f t="shared" si="5"/>
        <v>13.793103448275861</v>
      </c>
      <c r="L47">
        <f t="shared" si="5"/>
        <v>2.573529411764703</v>
      </c>
      <c r="M47">
        <f t="shared" si="5"/>
        <v>20</v>
      </c>
      <c r="N47">
        <f t="shared" si="5"/>
        <v>67.741935483870975</v>
      </c>
      <c r="O47">
        <f t="shared" si="5"/>
        <v>83.082943504857852</v>
      </c>
      <c r="P47">
        <f t="shared" si="5"/>
        <v>100</v>
      </c>
      <c r="Q47">
        <f t="shared" si="5"/>
        <v>0</v>
      </c>
      <c r="R47">
        <f t="shared" si="5"/>
        <v>0</v>
      </c>
      <c r="S47">
        <f t="shared" si="5"/>
        <v>64.150943396226424</v>
      </c>
      <c r="T47">
        <f t="shared" si="5"/>
        <v>76.666666666666671</v>
      </c>
      <c r="U47">
        <f t="shared" si="5"/>
        <v>40.250447227191408</v>
      </c>
      <c r="V47">
        <f t="shared" si="5"/>
        <v>25.896246309574018</v>
      </c>
      <c r="W47">
        <f t="shared" si="5"/>
        <v>25.81899789842047</v>
      </c>
      <c r="X47">
        <f t="shared" si="5"/>
        <v>52.290252930289952</v>
      </c>
      <c r="Y47">
        <f t="shared" si="5"/>
        <v>14.541851032448399</v>
      </c>
      <c r="Z47">
        <f t="shared" si="5"/>
        <v>48.275862068965509</v>
      </c>
      <c r="AA47">
        <f t="shared" si="5"/>
        <v>17.717909601361047</v>
      </c>
    </row>
    <row r="48" spans="3:27" x14ac:dyDescent="0.25">
      <c r="C48">
        <f t="shared" si="6"/>
        <v>3.0575741333964874</v>
      </c>
      <c r="D48">
        <f t="shared" si="5"/>
        <v>0</v>
      </c>
      <c r="E48">
        <f t="shared" si="5"/>
        <v>18.940909518119209</v>
      </c>
      <c r="F48">
        <f t="shared" si="5"/>
        <v>2.7397260273972601</v>
      </c>
      <c r="G48">
        <f t="shared" si="5"/>
        <v>8.5628442663995994</v>
      </c>
      <c r="H48">
        <f t="shared" si="5"/>
        <v>64.425162689804793</v>
      </c>
      <c r="I48">
        <f t="shared" si="5"/>
        <v>100</v>
      </c>
      <c r="J48">
        <f t="shared" si="5"/>
        <v>78.688524590163937</v>
      </c>
      <c r="K48">
        <f t="shared" si="5"/>
        <v>31.03448275862068</v>
      </c>
      <c r="L48">
        <f t="shared" si="5"/>
        <v>13.235294117647062</v>
      </c>
      <c r="M48">
        <f t="shared" si="5"/>
        <v>40</v>
      </c>
      <c r="N48">
        <f t="shared" si="5"/>
        <v>29.032258064516125</v>
      </c>
      <c r="O48">
        <f t="shared" si="5"/>
        <v>91.953040662108648</v>
      </c>
      <c r="P48">
        <f t="shared" si="5"/>
        <v>100</v>
      </c>
      <c r="Q48">
        <f t="shared" si="5"/>
        <v>9.6429834621279511</v>
      </c>
      <c r="R48">
        <f t="shared" si="5"/>
        <v>9.6234309623430949</v>
      </c>
      <c r="S48">
        <f t="shared" si="5"/>
        <v>0</v>
      </c>
      <c r="T48">
        <f t="shared" si="5"/>
        <v>40.000000000000007</v>
      </c>
      <c r="U48">
        <f t="shared" si="5"/>
        <v>0</v>
      </c>
      <c r="V48">
        <f t="shared" si="5"/>
        <v>44.07423028258119</v>
      </c>
      <c r="W48">
        <f t="shared" si="5"/>
        <v>33.618615620156127</v>
      </c>
      <c r="X48">
        <f t="shared" si="5"/>
        <v>28.678285009253546</v>
      </c>
      <c r="Y48">
        <f t="shared" si="5"/>
        <v>12.085945181907572</v>
      </c>
      <c r="Z48">
        <f t="shared" si="5"/>
        <v>0</v>
      </c>
      <c r="AA48">
        <f t="shared" si="5"/>
        <v>0</v>
      </c>
    </row>
    <row r="49" spans="3:27" x14ac:dyDescent="0.25">
      <c r="C49">
        <f t="shared" si="6"/>
        <v>9.4045645480947808</v>
      </c>
      <c r="D49">
        <f t="shared" si="5"/>
        <v>6.3001145475372278</v>
      </c>
      <c r="E49">
        <f t="shared" si="5"/>
        <v>8.7313202379194177</v>
      </c>
      <c r="F49">
        <f t="shared" si="5"/>
        <v>6.8493150684931505</v>
      </c>
      <c r="G49">
        <f t="shared" si="5"/>
        <v>0</v>
      </c>
      <c r="H49">
        <f t="shared" si="5"/>
        <v>100</v>
      </c>
      <c r="I49">
        <f t="shared" si="5"/>
        <v>100</v>
      </c>
      <c r="J49">
        <f t="shared" si="5"/>
        <v>71.311475409836063</v>
      </c>
      <c r="K49">
        <f t="shared" si="5"/>
        <v>81.034482758620697</v>
      </c>
      <c r="L49">
        <f t="shared" si="5"/>
        <v>60.294117647058812</v>
      </c>
      <c r="M49">
        <f t="shared" si="5"/>
        <v>40</v>
      </c>
      <c r="N49">
        <f t="shared" si="5"/>
        <v>25.806451612903235</v>
      </c>
      <c r="O49">
        <f t="shared" si="5"/>
        <v>100</v>
      </c>
      <c r="P49">
        <f t="shared" si="5"/>
        <v>36.84210526315789</v>
      </c>
      <c r="Q49">
        <f t="shared" si="5"/>
        <v>3.2164714204563722</v>
      </c>
      <c r="R49">
        <f t="shared" si="5"/>
        <v>4.9628079962807998</v>
      </c>
      <c r="S49">
        <f t="shared" si="5"/>
        <v>32.075471698113212</v>
      </c>
      <c r="T49">
        <f t="shared" si="5"/>
        <v>30.000000000000011</v>
      </c>
      <c r="U49">
        <f t="shared" si="5"/>
        <v>64.400715563506253</v>
      </c>
      <c r="V49">
        <f t="shared" si="5"/>
        <v>59.67946014339941</v>
      </c>
      <c r="W49">
        <f t="shared" si="5"/>
        <v>55.822136003575551</v>
      </c>
      <c r="X49">
        <f t="shared" si="5"/>
        <v>51.472856261566932</v>
      </c>
      <c r="Y49">
        <f t="shared" si="5"/>
        <v>41.859482546706012</v>
      </c>
      <c r="Z49">
        <f t="shared" si="5"/>
        <v>29.310344827586199</v>
      </c>
      <c r="AA49">
        <f t="shared" si="5"/>
        <v>13.39725721040568</v>
      </c>
    </row>
    <row r="50" spans="3:27" x14ac:dyDescent="0.25">
      <c r="C50">
        <f t="shared" si="6"/>
        <v>30.050980343275956</v>
      </c>
      <c r="D50">
        <f t="shared" si="5"/>
        <v>60.595647193585336</v>
      </c>
      <c r="E50">
        <f t="shared" si="5"/>
        <v>36.122933981390744</v>
      </c>
      <c r="F50">
        <f t="shared" si="5"/>
        <v>68.493150684931507</v>
      </c>
      <c r="G50">
        <f t="shared" si="5"/>
        <v>37.59639459188783</v>
      </c>
      <c r="H50">
        <f t="shared" si="5"/>
        <v>12.83122793585982</v>
      </c>
      <c r="I50">
        <f t="shared" si="5"/>
        <v>21.311475409836074</v>
      </c>
      <c r="J50">
        <f t="shared" si="5"/>
        <v>0</v>
      </c>
      <c r="K50">
        <f t="shared" si="5"/>
        <v>63.793103448275858</v>
      </c>
      <c r="L50">
        <f t="shared" si="5"/>
        <v>43.382352941176457</v>
      </c>
      <c r="M50">
        <f t="shared" si="5"/>
        <v>40</v>
      </c>
      <c r="N50">
        <f t="shared" si="5"/>
        <v>80.645161290322591</v>
      </c>
      <c r="O50">
        <f t="shared" si="5"/>
        <v>0</v>
      </c>
      <c r="P50">
        <f t="shared" si="5"/>
        <v>0</v>
      </c>
      <c r="Q50">
        <f t="shared" si="5"/>
        <v>40.704815596831764</v>
      </c>
      <c r="R50">
        <f t="shared" si="5"/>
        <v>47.198977219897728</v>
      </c>
      <c r="S50">
        <f t="shared" si="5"/>
        <v>69.811320754717016</v>
      </c>
      <c r="T50">
        <f t="shared" si="5"/>
        <v>63.333333333333343</v>
      </c>
      <c r="U50">
        <f t="shared" si="5"/>
        <v>64.400715563506253</v>
      </c>
      <c r="V50">
        <f t="shared" si="5"/>
        <v>8.6883171657528422</v>
      </c>
      <c r="W50">
        <f t="shared" si="5"/>
        <v>56.502058787169887</v>
      </c>
      <c r="X50">
        <f t="shared" si="5"/>
        <v>22.948797038864889</v>
      </c>
      <c r="Y50">
        <f t="shared" si="5"/>
        <v>39.103214110127823</v>
      </c>
      <c r="Z50">
        <f t="shared" si="5"/>
        <v>70.689655172413808</v>
      </c>
      <c r="AA50">
        <f t="shared" si="5"/>
        <v>44.152602614995139</v>
      </c>
    </row>
    <row r="51" spans="3:27" x14ac:dyDescent="0.25">
      <c r="C51">
        <f t="shared" si="6"/>
        <v>38.711406384384311</v>
      </c>
      <c r="D51">
        <f t="shared" si="5"/>
        <v>26.689576174112258</v>
      </c>
      <c r="E51">
        <f t="shared" si="5"/>
        <v>28.021321446313735</v>
      </c>
      <c r="F51">
        <f t="shared" si="5"/>
        <v>15.068493150684931</v>
      </c>
      <c r="G51">
        <f t="shared" si="5"/>
        <v>39.188783174762143</v>
      </c>
      <c r="H51">
        <f t="shared" si="5"/>
        <v>0</v>
      </c>
      <c r="I51">
        <f t="shared" si="5"/>
        <v>57.377049180327852</v>
      </c>
      <c r="J51">
        <f t="shared" ref="D51:AA55" si="7">J32*100</f>
        <v>61.885245901639344</v>
      </c>
      <c r="K51">
        <f t="shared" si="7"/>
        <v>50.000000000000014</v>
      </c>
      <c r="L51">
        <f t="shared" si="7"/>
        <v>48.897058823529392</v>
      </c>
      <c r="M51">
        <f t="shared" si="7"/>
        <v>40</v>
      </c>
      <c r="N51">
        <f t="shared" si="7"/>
        <v>83.870967741935488</v>
      </c>
      <c r="O51">
        <f t="shared" si="7"/>
        <v>62.558474271320598</v>
      </c>
      <c r="P51">
        <f t="shared" si="7"/>
        <v>21.052631578947363</v>
      </c>
      <c r="Q51">
        <f t="shared" si="7"/>
        <v>6.4650968371185735</v>
      </c>
      <c r="R51">
        <f t="shared" si="7"/>
        <v>3.2310553231055321</v>
      </c>
      <c r="S51">
        <f t="shared" si="7"/>
        <v>30.188679245282994</v>
      </c>
      <c r="T51">
        <f t="shared" si="7"/>
        <v>100</v>
      </c>
      <c r="U51">
        <f t="shared" si="7"/>
        <v>82.289803220035779</v>
      </c>
      <c r="V51">
        <f t="shared" si="7"/>
        <v>64.361029101644874</v>
      </c>
      <c r="W51">
        <f t="shared" si="7"/>
        <v>60.315332021034827</v>
      </c>
      <c r="X51">
        <f t="shared" si="7"/>
        <v>0</v>
      </c>
      <c r="Y51">
        <f t="shared" si="7"/>
        <v>28.712665929203517</v>
      </c>
      <c r="Z51">
        <f t="shared" si="7"/>
        <v>87.931034482758633</v>
      </c>
      <c r="AA51">
        <f t="shared" si="7"/>
        <v>40.848315908019963</v>
      </c>
    </row>
    <row r="52" spans="3:27" x14ac:dyDescent="0.25">
      <c r="C52">
        <f t="shared" si="6"/>
        <v>6.6224587732309574</v>
      </c>
      <c r="D52">
        <f t="shared" si="7"/>
        <v>11.683848797250858</v>
      </c>
      <c r="E52">
        <f t="shared" si="7"/>
        <v>7.7189543361215929</v>
      </c>
      <c r="F52">
        <f t="shared" si="7"/>
        <v>6.8493150684931505</v>
      </c>
      <c r="G52">
        <f t="shared" si="7"/>
        <v>2.0630946419629441</v>
      </c>
      <c r="H52">
        <f t="shared" si="7"/>
        <v>30.622899919186768</v>
      </c>
      <c r="I52">
        <f t="shared" si="7"/>
        <v>86.885245901639337</v>
      </c>
      <c r="J52">
        <f t="shared" si="7"/>
        <v>100</v>
      </c>
      <c r="K52">
        <f t="shared" si="7"/>
        <v>39.655172413793096</v>
      </c>
      <c r="L52">
        <f t="shared" si="7"/>
        <v>26.470588235294123</v>
      </c>
      <c r="M52">
        <f t="shared" si="7"/>
        <v>20</v>
      </c>
      <c r="N52">
        <f t="shared" si="7"/>
        <v>9.6774193548387171</v>
      </c>
      <c r="O52">
        <f t="shared" si="7"/>
        <v>70.578445483987025</v>
      </c>
      <c r="P52">
        <f t="shared" si="7"/>
        <v>47.368421052631582</v>
      </c>
      <c r="Q52">
        <f t="shared" si="7"/>
        <v>9.9752414229215116</v>
      </c>
      <c r="R52">
        <f t="shared" si="7"/>
        <v>9.4374709437470923</v>
      </c>
      <c r="S52">
        <f t="shared" si="7"/>
        <v>26.41509433962263</v>
      </c>
      <c r="T52">
        <f t="shared" si="7"/>
        <v>30.000000000000011</v>
      </c>
      <c r="U52">
        <f t="shared" si="7"/>
        <v>40.250447227191408</v>
      </c>
      <c r="V52">
        <f t="shared" si="7"/>
        <v>57.444116406579518</v>
      </c>
      <c r="W52">
        <f t="shared" si="7"/>
        <v>0</v>
      </c>
      <c r="X52">
        <f t="shared" si="7"/>
        <v>31.184454040715604</v>
      </c>
      <c r="Y52">
        <f t="shared" si="7"/>
        <v>0</v>
      </c>
      <c r="Z52">
        <f t="shared" si="7"/>
        <v>18.965517241379306</v>
      </c>
      <c r="AA52">
        <f t="shared" si="7"/>
        <v>5.9700002396147287</v>
      </c>
    </row>
    <row r="53" spans="3:27" x14ac:dyDescent="0.25">
      <c r="C53">
        <f>C34*100</f>
        <v>1.9232926570855198</v>
      </c>
      <c r="D53">
        <f t="shared" ref="D53:AA53" si="8">D34*100</f>
        <v>8.5910652920962196</v>
      </c>
      <c r="E53">
        <f t="shared" si="8"/>
        <v>0</v>
      </c>
      <c r="F53">
        <f t="shared" si="8"/>
        <v>9.5890410958904102</v>
      </c>
      <c r="G53">
        <f t="shared" si="8"/>
        <v>1.6024036054081119</v>
      </c>
      <c r="H53">
        <f t="shared" si="8"/>
        <v>31.48526221768536</v>
      </c>
      <c r="I53">
        <f t="shared" si="8"/>
        <v>24.590163934426222</v>
      </c>
      <c r="J53">
        <f t="shared" si="8"/>
        <v>29.508196721311482</v>
      </c>
      <c r="K53">
        <f t="shared" si="8"/>
        <v>12.068965517241368</v>
      </c>
      <c r="L53">
        <f t="shared" si="8"/>
        <v>5.1470588235294059</v>
      </c>
      <c r="M53">
        <f t="shared" si="8"/>
        <v>20</v>
      </c>
      <c r="N53">
        <f t="shared" si="8"/>
        <v>51.612903225806448</v>
      </c>
      <c r="O53">
        <f t="shared" si="8"/>
        <v>33.793630802446906</v>
      </c>
      <c r="P53">
        <f t="shared" si="8"/>
        <v>42.105263157894733</v>
      </c>
      <c r="Q53">
        <f t="shared" si="8"/>
        <v>18.70290779305688</v>
      </c>
      <c r="R53">
        <f t="shared" si="8"/>
        <v>26.011157601115762</v>
      </c>
      <c r="S53">
        <f t="shared" si="8"/>
        <v>15.094339622641465</v>
      </c>
      <c r="T53">
        <f t="shared" si="8"/>
        <v>0</v>
      </c>
      <c r="U53">
        <f t="shared" si="8"/>
        <v>53.667262969588549</v>
      </c>
      <c r="V53">
        <f t="shared" si="8"/>
        <v>10.670603121045971</v>
      </c>
      <c r="W53">
        <f t="shared" si="8"/>
        <v>9.960155573940396</v>
      </c>
      <c r="X53">
        <f t="shared" si="8"/>
        <v>47.015731030228231</v>
      </c>
      <c r="Y53">
        <f t="shared" si="8"/>
        <v>5.2252335299901338</v>
      </c>
      <c r="Z53">
        <f t="shared" si="8"/>
        <v>5.1724137931034306</v>
      </c>
      <c r="AA53">
        <f t="shared" si="8"/>
        <v>0.58785472959482188</v>
      </c>
    </row>
    <row r="54" spans="3:27" x14ac:dyDescent="0.25">
      <c r="C54">
        <f t="shared" si="6"/>
        <v>40.597305146646391</v>
      </c>
      <c r="D54">
        <f t="shared" si="7"/>
        <v>51.890034364261176</v>
      </c>
      <c r="E54">
        <f t="shared" si="7"/>
        <v>35.477114354381776</v>
      </c>
      <c r="F54">
        <f t="shared" si="7"/>
        <v>46.575342465753423</v>
      </c>
      <c r="G54">
        <f t="shared" si="7"/>
        <v>31.967951927891836</v>
      </c>
      <c r="H54">
        <f t="shared" si="7"/>
        <v>29.555314533622568</v>
      </c>
      <c r="I54">
        <f t="shared" si="7"/>
        <v>77.049180327868854</v>
      </c>
      <c r="J54">
        <f t="shared" si="7"/>
        <v>9.0163934426229613</v>
      </c>
      <c r="K54">
        <f t="shared" si="7"/>
        <v>41.379310344827601</v>
      </c>
      <c r="L54">
        <f t="shared" si="7"/>
        <v>20.95588235294117</v>
      </c>
      <c r="M54">
        <f t="shared" si="7"/>
        <v>20</v>
      </c>
      <c r="N54">
        <f t="shared" si="7"/>
        <v>38.709677419354826</v>
      </c>
      <c r="O54">
        <f t="shared" si="7"/>
        <v>53.562432529686923</v>
      </c>
      <c r="P54">
        <f t="shared" si="7"/>
        <v>26.315789473684209</v>
      </c>
      <c r="Q54">
        <f t="shared" si="7"/>
        <v>2.9838908479008799</v>
      </c>
      <c r="R54">
        <f t="shared" si="7"/>
        <v>3.7192003719200368</v>
      </c>
      <c r="S54">
        <f t="shared" si="7"/>
        <v>67.924528301886795</v>
      </c>
      <c r="T54">
        <f t="shared" si="7"/>
        <v>73.333333333333343</v>
      </c>
      <c r="U54">
        <f t="shared" si="7"/>
        <v>40.250447227191408</v>
      </c>
      <c r="V54">
        <f t="shared" si="7"/>
        <v>51.876845212990311</v>
      </c>
      <c r="W54">
        <f t="shared" si="7"/>
        <v>54.898772335225722</v>
      </c>
      <c r="X54">
        <f t="shared" si="7"/>
        <v>26.765885256014787</v>
      </c>
      <c r="Y54">
        <f t="shared" si="7"/>
        <v>13.994515117994123</v>
      </c>
      <c r="Z54">
        <f t="shared" si="7"/>
        <v>100</v>
      </c>
      <c r="AA54">
        <f t="shared" si="7"/>
        <v>9.7654970806942707</v>
      </c>
    </row>
    <row r="55" spans="3:27" x14ac:dyDescent="0.25">
      <c r="C55">
        <f t="shared" si="6"/>
        <v>14.788038939509143</v>
      </c>
      <c r="D55">
        <f t="shared" si="7"/>
        <v>61.168384879725089</v>
      </c>
      <c r="E55">
        <f t="shared" si="7"/>
        <v>21.216718806643488</v>
      </c>
      <c r="F55">
        <f t="shared" si="7"/>
        <v>45.205479452054789</v>
      </c>
      <c r="G55">
        <f t="shared" si="7"/>
        <v>16.314471707561342</v>
      </c>
      <c r="H55">
        <f t="shared" si="7"/>
        <v>39.989792012249609</v>
      </c>
      <c r="I55">
        <f t="shared" si="7"/>
        <v>31.147540983606557</v>
      </c>
      <c r="J55">
        <f t="shared" si="7"/>
        <v>9.4262295081967356</v>
      </c>
      <c r="K55">
        <f t="shared" si="7"/>
        <v>74.137931034482747</v>
      </c>
      <c r="L55">
        <f t="shared" si="7"/>
        <v>33.088235294117645</v>
      </c>
      <c r="M55">
        <f t="shared" si="7"/>
        <v>20</v>
      </c>
      <c r="N55">
        <f t="shared" si="7"/>
        <v>100</v>
      </c>
      <c r="O55">
        <f t="shared" si="7"/>
        <v>69.494422454120169</v>
      </c>
      <c r="P55">
        <f t="shared" si="7"/>
        <v>42.105263157894733</v>
      </c>
      <c r="Q55">
        <f t="shared" si="7"/>
        <v>100</v>
      </c>
      <c r="R55">
        <f t="shared" si="7"/>
        <v>100</v>
      </c>
      <c r="S55">
        <f t="shared" si="7"/>
        <v>50.943396226415103</v>
      </c>
      <c r="T55">
        <f t="shared" si="7"/>
        <v>63.333333333333343</v>
      </c>
      <c r="U55">
        <f t="shared" si="7"/>
        <v>82.289803220035779</v>
      </c>
      <c r="V55">
        <f t="shared" si="7"/>
        <v>4.2176296921130323</v>
      </c>
      <c r="W55">
        <f t="shared" si="7"/>
        <v>12.713129641780508</v>
      </c>
      <c r="X55">
        <f t="shared" si="7"/>
        <v>68.576495990129544</v>
      </c>
      <c r="Y55">
        <f t="shared" si="7"/>
        <v>30.905082350049142</v>
      </c>
      <c r="Z55">
        <f t="shared" si="7"/>
        <v>32.758620689655174</v>
      </c>
      <c r="AA55">
        <f t="shared" si="7"/>
        <v>20.474277362001917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D20BD-58C8-4A4F-B700-34AEF22E02CA}">
  <dimension ref="A1:AA19"/>
  <sheetViews>
    <sheetView topLeftCell="K1" workbookViewId="0">
      <selection activeCell="Q23" sqref="Q23"/>
    </sheetView>
  </sheetViews>
  <sheetFormatPr defaultRowHeight="13.2" x14ac:dyDescent="0.25"/>
  <cols>
    <col min="1" max="1" width="3" bestFit="1" customWidth="1"/>
    <col min="2" max="2" width="23.6640625" bestFit="1" customWidth="1"/>
    <col min="3" max="12" width="12" bestFit="1" customWidth="1"/>
    <col min="13" max="13" width="4" bestFit="1" customWidth="1"/>
    <col min="14" max="27" width="12" bestFit="1" customWidth="1"/>
  </cols>
  <sheetData>
    <row r="1" spans="1:27" x14ac:dyDescent="0.25">
      <c r="A1" s="28" t="s">
        <v>67</v>
      </c>
      <c r="B1" s="28" t="s">
        <v>66</v>
      </c>
      <c r="C1" s="29" t="s">
        <v>0</v>
      </c>
      <c r="D1" s="29" t="s">
        <v>1</v>
      </c>
      <c r="E1" s="29" t="s">
        <v>2</v>
      </c>
      <c r="F1" s="29" t="s">
        <v>4</v>
      </c>
      <c r="G1" s="30" t="s">
        <v>3</v>
      </c>
      <c r="H1" s="30" t="s">
        <v>20</v>
      </c>
      <c r="I1" s="31" t="s">
        <v>10</v>
      </c>
      <c r="J1" s="31" t="s">
        <v>11</v>
      </c>
      <c r="K1" s="31" t="s">
        <v>12</v>
      </c>
      <c r="L1" s="31" t="s">
        <v>13</v>
      </c>
      <c r="M1" s="32" t="s">
        <v>14</v>
      </c>
      <c r="N1" s="32" t="s">
        <v>15</v>
      </c>
      <c r="O1" s="32" t="s">
        <v>16</v>
      </c>
      <c r="P1" s="32" t="s">
        <v>17</v>
      </c>
      <c r="Q1" s="33" t="s">
        <v>18</v>
      </c>
      <c r="R1" s="33" t="s">
        <v>19</v>
      </c>
      <c r="S1" s="34" t="s">
        <v>7</v>
      </c>
      <c r="T1" s="34" t="s">
        <v>8</v>
      </c>
      <c r="U1" s="29" t="s">
        <v>9</v>
      </c>
      <c r="V1" s="30" t="s">
        <v>21</v>
      </c>
      <c r="W1" s="30" t="s">
        <v>22</v>
      </c>
      <c r="X1" s="30" t="s">
        <v>23</v>
      </c>
      <c r="Y1" s="30" t="s">
        <v>24</v>
      </c>
      <c r="Z1" s="31" t="s">
        <v>5</v>
      </c>
      <c r="AA1" s="31" t="s">
        <v>6</v>
      </c>
    </row>
    <row r="2" spans="1:27" x14ac:dyDescent="0.25">
      <c r="A2" s="27">
        <v>1</v>
      </c>
      <c r="B2" s="27" t="s">
        <v>25</v>
      </c>
      <c r="C2" s="21">
        <v>42.956859910005356</v>
      </c>
      <c r="D2" s="21">
        <v>63.115693012600225</v>
      </c>
      <c r="E2" s="21">
        <v>35.679856066810785</v>
      </c>
      <c r="F2" s="21">
        <v>56.164383561643838</v>
      </c>
      <c r="G2" s="22">
        <v>39.549323985978965</v>
      </c>
      <c r="H2" s="22">
        <v>38.088554293734859</v>
      </c>
      <c r="I2" s="23">
        <v>24.590163934426222</v>
      </c>
      <c r="J2" s="23">
        <v>40.573770491803288</v>
      </c>
      <c r="K2" s="23">
        <v>74.137931034482747</v>
      </c>
      <c r="L2" s="23">
        <v>52.205882352941181</v>
      </c>
      <c r="M2" s="24">
        <v>40</v>
      </c>
      <c r="N2" s="24">
        <v>51.612903225806448</v>
      </c>
      <c r="O2" s="24">
        <v>33.528247571068732</v>
      </c>
      <c r="P2" s="24">
        <v>36.84210526315789</v>
      </c>
      <c r="Q2" s="25">
        <v>33.10468269364744</v>
      </c>
      <c r="R2" s="25">
        <v>24.883774988377503</v>
      </c>
      <c r="S2" s="26">
        <v>68.867924528301899</v>
      </c>
      <c r="T2" s="26">
        <v>96.666666666666686</v>
      </c>
      <c r="U2" s="21">
        <v>98.389982110912328</v>
      </c>
      <c r="V2" s="22">
        <v>37.832138338253898</v>
      </c>
      <c r="W2" s="22">
        <v>36.093914928822073</v>
      </c>
      <c r="X2" s="22">
        <v>100</v>
      </c>
      <c r="Y2" s="22">
        <v>49.135401302851548</v>
      </c>
      <c r="Z2" s="23">
        <v>70.689655172413808</v>
      </c>
      <c r="AA2" s="23">
        <v>54.023929521329691</v>
      </c>
    </row>
    <row r="3" spans="1:27" x14ac:dyDescent="0.25">
      <c r="A3" s="27">
        <v>2</v>
      </c>
      <c r="B3" s="27" t="s">
        <v>26</v>
      </c>
      <c r="C3" s="21">
        <v>12.84978872449425</v>
      </c>
      <c r="D3" s="21">
        <v>13.860252004581902</v>
      </c>
      <c r="E3" s="21">
        <v>15.954832905919798</v>
      </c>
      <c r="F3" s="21">
        <v>19.17808219178082</v>
      </c>
      <c r="G3" s="22">
        <v>16.514772158237356</v>
      </c>
      <c r="H3" s="22">
        <v>29.784994258006908</v>
      </c>
      <c r="I3" s="23">
        <v>49.180327868852444</v>
      </c>
      <c r="J3" s="23">
        <v>38.114754098360663</v>
      </c>
      <c r="K3" s="23">
        <v>0</v>
      </c>
      <c r="L3" s="23">
        <v>23.897058823529409</v>
      </c>
      <c r="M3" s="24">
        <v>40</v>
      </c>
      <c r="N3" s="24">
        <v>16.129032258064516</v>
      </c>
      <c r="O3" s="24">
        <v>60.408420295070165</v>
      </c>
      <c r="P3" s="24">
        <v>31.578947368421044</v>
      </c>
      <c r="Q3" s="25">
        <v>16.579672243598676</v>
      </c>
      <c r="R3" s="25">
        <v>9.3793584379358439</v>
      </c>
      <c r="S3" s="26">
        <v>61.320754716981163</v>
      </c>
      <c r="T3" s="26">
        <v>20.000000000000018</v>
      </c>
      <c r="U3" s="21">
        <v>53.667262969588549</v>
      </c>
      <c r="V3" s="22">
        <v>58.161113454238723</v>
      </c>
      <c r="W3" s="22">
        <v>31.672990424024555</v>
      </c>
      <c r="X3" s="22">
        <v>31.346391116594674</v>
      </c>
      <c r="Y3" s="22">
        <v>25.035336774827911</v>
      </c>
      <c r="Z3" s="23">
        <v>24.137931034482754</v>
      </c>
      <c r="AA3" s="23">
        <v>7.8310077395548028</v>
      </c>
    </row>
    <row r="4" spans="1:27" x14ac:dyDescent="0.25">
      <c r="A4" s="27">
        <v>3</v>
      </c>
      <c r="B4" s="27" t="s">
        <v>27</v>
      </c>
      <c r="C4" s="21">
        <v>0</v>
      </c>
      <c r="D4" s="21">
        <v>5.2691867124856815</v>
      </c>
      <c r="E4" s="21">
        <v>1.1103801071443009</v>
      </c>
      <c r="F4" s="21">
        <v>6.8493150684931505</v>
      </c>
      <c r="G4" s="22">
        <v>4.0060090135202807E-2</v>
      </c>
      <c r="H4" s="22">
        <v>57.406107779337354</v>
      </c>
      <c r="I4" s="23">
        <v>98.360655737704889</v>
      </c>
      <c r="J4" s="23">
        <v>92.622950819672141</v>
      </c>
      <c r="K4" s="23">
        <v>72.41379310344827</v>
      </c>
      <c r="L4" s="23">
        <v>51.102941176470573</v>
      </c>
      <c r="M4" s="24">
        <v>0</v>
      </c>
      <c r="N4" s="24">
        <v>0</v>
      </c>
      <c r="O4" s="24">
        <v>54.052716804605957</v>
      </c>
      <c r="P4" s="24">
        <v>78.947368421052616</v>
      </c>
      <c r="Q4" s="25">
        <v>3.8788437422964379</v>
      </c>
      <c r="R4" s="25">
        <v>5.8809855880985573</v>
      </c>
      <c r="S4" s="26">
        <v>37.73584905660379</v>
      </c>
      <c r="T4" s="26">
        <v>56.666666666666679</v>
      </c>
      <c r="U4" s="21">
        <v>53.667262969588549</v>
      </c>
      <c r="V4" s="22">
        <v>57.528469000421765</v>
      </c>
      <c r="W4" s="22">
        <v>40.464439562947547</v>
      </c>
      <c r="X4" s="22">
        <v>37.291795188155469</v>
      </c>
      <c r="Y4" s="22">
        <v>8.4251321288102456</v>
      </c>
      <c r="Z4" s="23">
        <v>22.413793103448263</v>
      </c>
      <c r="AA4" s="23">
        <v>10.237937396666187</v>
      </c>
    </row>
    <row r="5" spans="1:27" x14ac:dyDescent="0.25">
      <c r="A5" s="27">
        <v>4</v>
      </c>
      <c r="B5" s="27" t="s">
        <v>28</v>
      </c>
      <c r="C5" s="21">
        <v>12.344971144377828</v>
      </c>
      <c r="D5" s="21">
        <v>39.862542955326461</v>
      </c>
      <c r="E5" s="21">
        <v>18.774419635064923</v>
      </c>
      <c r="F5" s="21">
        <v>42.465753424657535</v>
      </c>
      <c r="G5" s="22">
        <v>23.144717075613418</v>
      </c>
      <c r="H5" s="22">
        <v>50.401939517672588</v>
      </c>
      <c r="I5" s="23">
        <v>0</v>
      </c>
      <c r="J5" s="23">
        <v>4.9180327868852558</v>
      </c>
      <c r="K5" s="23">
        <v>25.862068965517249</v>
      </c>
      <c r="L5" s="23">
        <v>0</v>
      </c>
      <c r="M5" s="24">
        <v>20</v>
      </c>
      <c r="N5" s="24">
        <v>48.387096774193559</v>
      </c>
      <c r="O5" s="24">
        <v>82.543181000359823</v>
      </c>
      <c r="P5" s="24">
        <v>57.894736842105253</v>
      </c>
      <c r="Q5" s="25">
        <v>7.3043161380906954</v>
      </c>
      <c r="R5" s="25">
        <v>11.599256159925618</v>
      </c>
      <c r="S5" s="26">
        <v>36.792452830188687</v>
      </c>
      <c r="T5" s="26">
        <v>60.000000000000007</v>
      </c>
      <c r="U5" s="21">
        <v>64.400715563506253</v>
      </c>
      <c r="V5" s="22">
        <v>0</v>
      </c>
      <c r="W5" s="22">
        <v>32.553561749350983</v>
      </c>
      <c r="X5" s="22">
        <v>46.637877853177017</v>
      </c>
      <c r="Y5" s="22">
        <v>26.253303220255674</v>
      </c>
      <c r="Z5" s="23">
        <v>72.41379310344827</v>
      </c>
      <c r="AA5" s="23">
        <v>14.876079264542618</v>
      </c>
    </row>
    <row r="6" spans="1:27" x14ac:dyDescent="0.25">
      <c r="A6" s="27">
        <v>5</v>
      </c>
      <c r="B6" s="27" t="s">
        <v>29</v>
      </c>
      <c r="C6" s="21">
        <v>29.437720468171563</v>
      </c>
      <c r="D6" s="21">
        <v>22.680412371134022</v>
      </c>
      <c r="E6" s="21">
        <v>20.831375286993655</v>
      </c>
      <c r="F6" s="21">
        <v>19.17808219178082</v>
      </c>
      <c r="G6" s="22">
        <v>15.863795693540311</v>
      </c>
      <c r="H6" s="22">
        <v>50.494449406660735</v>
      </c>
      <c r="I6" s="23">
        <v>98.360655737704889</v>
      </c>
      <c r="J6" s="23">
        <v>39.754098360655739</v>
      </c>
      <c r="K6" s="23">
        <v>89.65517241379311</v>
      </c>
      <c r="L6" s="23">
        <v>66.544117647058826</v>
      </c>
      <c r="M6" s="24">
        <v>20</v>
      </c>
      <c r="N6" s="24">
        <v>64.516129032258078</v>
      </c>
      <c r="O6" s="24">
        <v>55.087261604893833</v>
      </c>
      <c r="P6" s="24">
        <v>31.578947368421044</v>
      </c>
      <c r="Q6" s="25">
        <v>2.8209772671246824</v>
      </c>
      <c r="R6" s="25">
        <v>1.7317526731752659</v>
      </c>
      <c r="S6" s="26">
        <v>32.075471698113212</v>
      </c>
      <c r="T6" s="26">
        <v>70</v>
      </c>
      <c r="U6" s="21">
        <v>96.60107334525938</v>
      </c>
      <c r="V6" s="22">
        <v>50.274145929987348</v>
      </c>
      <c r="W6" s="22">
        <v>16.438916307686448</v>
      </c>
      <c r="X6" s="22">
        <v>38.271128932757556</v>
      </c>
      <c r="Y6" s="22">
        <v>30.986894665683401</v>
      </c>
      <c r="Z6" s="23">
        <v>56.896551724137922</v>
      </c>
      <c r="AA6" s="23">
        <v>23.227849617814563</v>
      </c>
    </row>
    <row r="7" spans="1:27" x14ac:dyDescent="0.25">
      <c r="A7" s="27">
        <v>6</v>
      </c>
      <c r="B7" s="27" t="s">
        <v>30</v>
      </c>
      <c r="C7" s="21">
        <v>22.987273611128423</v>
      </c>
      <c r="D7" s="21">
        <v>47.880870561282933</v>
      </c>
      <c r="E7" s="21">
        <v>28.021321446313735</v>
      </c>
      <c r="F7" s="21">
        <v>52.054794520547944</v>
      </c>
      <c r="G7" s="22">
        <v>12.448673009514271</v>
      </c>
      <c r="H7" s="22">
        <v>15.498064735655653</v>
      </c>
      <c r="I7" s="23">
        <v>67.21311475409837</v>
      </c>
      <c r="J7" s="23">
        <v>46.311475409836071</v>
      </c>
      <c r="K7" s="23">
        <v>58.620689655172434</v>
      </c>
      <c r="L7" s="23">
        <v>44.485294117647065</v>
      </c>
      <c r="M7" s="24">
        <v>100</v>
      </c>
      <c r="N7" s="24">
        <v>54.838709677419338</v>
      </c>
      <c r="O7" s="24">
        <v>56.202770780856412</v>
      </c>
      <c r="P7" s="24">
        <v>42.105263157894733</v>
      </c>
      <c r="Q7" s="25">
        <v>39.591215528236567</v>
      </c>
      <c r="R7" s="25">
        <v>25.244072524407251</v>
      </c>
      <c r="S7" s="26">
        <v>62.264150943396203</v>
      </c>
      <c r="T7" s="26">
        <v>83.333333333333343</v>
      </c>
      <c r="U7" s="21">
        <v>40.250447227191408</v>
      </c>
      <c r="V7" s="22">
        <v>100</v>
      </c>
      <c r="W7" s="22">
        <v>52.792438117517278</v>
      </c>
      <c r="X7" s="22">
        <v>59.184145589142503</v>
      </c>
      <c r="Y7" s="22">
        <v>18.570627458210424</v>
      </c>
      <c r="Z7" s="23">
        <v>79.310344827586206</v>
      </c>
      <c r="AA7" s="23">
        <v>52.077060087379493</v>
      </c>
    </row>
    <row r="8" spans="1:27" x14ac:dyDescent="0.25">
      <c r="A8" s="27">
        <v>7</v>
      </c>
      <c r="B8" s="27" t="s">
        <v>31</v>
      </c>
      <c r="C8" s="21">
        <v>100</v>
      </c>
      <c r="D8" s="21">
        <v>100</v>
      </c>
      <c r="E8" s="21">
        <v>100</v>
      </c>
      <c r="F8" s="21">
        <v>100</v>
      </c>
      <c r="G8" s="22">
        <v>100</v>
      </c>
      <c r="H8" s="22">
        <v>46.186891242397202</v>
      </c>
      <c r="I8" s="23">
        <v>91.803278688524586</v>
      </c>
      <c r="J8" s="23">
        <v>72.950819672131146</v>
      </c>
      <c r="K8" s="23">
        <v>100</v>
      </c>
      <c r="L8" s="23">
        <v>100</v>
      </c>
      <c r="M8" s="24">
        <v>100</v>
      </c>
      <c r="N8" s="24">
        <v>90.322580645161295</v>
      </c>
      <c r="O8" s="24">
        <v>49.640158330334643</v>
      </c>
      <c r="P8" s="24">
        <v>21.052631578947363</v>
      </c>
      <c r="Q8" s="25">
        <v>12.809080288528527</v>
      </c>
      <c r="R8" s="25">
        <v>5.3812180381218031</v>
      </c>
      <c r="S8" s="26">
        <v>100</v>
      </c>
      <c r="T8" s="26">
        <v>90</v>
      </c>
      <c r="U8" s="21">
        <v>100</v>
      </c>
      <c r="V8" s="22">
        <v>40.868831716575279</v>
      </c>
      <c r="W8" s="22">
        <v>100</v>
      </c>
      <c r="X8" s="22">
        <v>95.465761875385567</v>
      </c>
      <c r="Y8" s="22">
        <v>100</v>
      </c>
      <c r="Z8" s="23">
        <v>81.034482758620697</v>
      </c>
      <c r="AA8" s="23">
        <v>100</v>
      </c>
    </row>
    <row r="9" spans="1:27" x14ac:dyDescent="0.25">
      <c r="A9" s="27">
        <v>8</v>
      </c>
      <c r="B9" s="27" t="s">
        <v>32</v>
      </c>
      <c r="C9" s="21">
        <v>12.999364303788003</v>
      </c>
      <c r="D9" s="21">
        <v>22.222222222222221</v>
      </c>
      <c r="E9" s="21">
        <v>18.479034358678291</v>
      </c>
      <c r="F9" s="21">
        <v>0</v>
      </c>
      <c r="G9" s="22">
        <v>35.002503755633455</v>
      </c>
      <c r="H9" s="22">
        <v>14.656969078303792</v>
      </c>
      <c r="I9" s="23">
        <v>36.06557377049181</v>
      </c>
      <c r="J9" s="23">
        <v>39.344262295081968</v>
      </c>
      <c r="K9" s="23">
        <v>13.793103448275861</v>
      </c>
      <c r="L9" s="23">
        <v>2.573529411764703</v>
      </c>
      <c r="M9" s="24">
        <v>20</v>
      </c>
      <c r="N9" s="24">
        <v>67.741935483870975</v>
      </c>
      <c r="O9" s="24">
        <v>83.082943504857852</v>
      </c>
      <c r="P9" s="24">
        <v>100</v>
      </c>
      <c r="Q9" s="25">
        <v>0</v>
      </c>
      <c r="R9" s="25">
        <v>0</v>
      </c>
      <c r="S9" s="26">
        <v>64.150943396226424</v>
      </c>
      <c r="T9" s="26">
        <v>76.666666666666671</v>
      </c>
      <c r="U9" s="21">
        <v>40.250447227191408</v>
      </c>
      <c r="V9" s="22">
        <v>25.896246309574018</v>
      </c>
      <c r="W9" s="22">
        <v>25.81899789842047</v>
      </c>
      <c r="X9" s="22">
        <v>52.290252930289952</v>
      </c>
      <c r="Y9" s="22">
        <v>14.541851032448399</v>
      </c>
      <c r="Z9" s="23">
        <v>48.275862068965509</v>
      </c>
      <c r="AA9" s="23">
        <v>17.717909601361047</v>
      </c>
    </row>
    <row r="10" spans="1:27" x14ac:dyDescent="0.25">
      <c r="A10" s="27">
        <v>9</v>
      </c>
      <c r="B10" s="27" t="s">
        <v>33</v>
      </c>
      <c r="C10" s="21">
        <v>3.0575741333964874</v>
      </c>
      <c r="D10" s="21">
        <v>0</v>
      </c>
      <c r="E10" s="21">
        <v>18.940909518119209</v>
      </c>
      <c r="F10" s="21">
        <v>2.7397260273972601</v>
      </c>
      <c r="G10" s="22">
        <v>8.5628442663995994</v>
      </c>
      <c r="H10" s="22">
        <v>64.425162689804793</v>
      </c>
      <c r="I10" s="23">
        <v>100</v>
      </c>
      <c r="J10" s="23">
        <v>78.688524590163937</v>
      </c>
      <c r="K10" s="23">
        <v>31.03448275862068</v>
      </c>
      <c r="L10" s="23">
        <v>13.235294117647062</v>
      </c>
      <c r="M10" s="24">
        <v>40</v>
      </c>
      <c r="N10" s="24">
        <v>29.032258064516125</v>
      </c>
      <c r="O10" s="24">
        <v>91.953040662108648</v>
      </c>
      <c r="P10" s="24">
        <v>100</v>
      </c>
      <c r="Q10" s="25">
        <v>9.6429834621279511</v>
      </c>
      <c r="R10" s="25">
        <v>9.6234309623430949</v>
      </c>
      <c r="S10" s="26">
        <v>0</v>
      </c>
      <c r="T10" s="26">
        <v>40.000000000000007</v>
      </c>
      <c r="U10" s="21">
        <v>0</v>
      </c>
      <c r="V10" s="22">
        <v>44.07423028258119</v>
      </c>
      <c r="W10" s="22">
        <v>33.618615620156127</v>
      </c>
      <c r="X10" s="22">
        <v>28.678285009253546</v>
      </c>
      <c r="Y10" s="22">
        <v>12.085945181907572</v>
      </c>
      <c r="Z10" s="23">
        <v>0</v>
      </c>
      <c r="AA10" s="23">
        <v>0</v>
      </c>
    </row>
    <row r="11" spans="1:27" x14ac:dyDescent="0.25">
      <c r="A11" s="27">
        <v>10</v>
      </c>
      <c r="B11" s="27" t="s">
        <v>34</v>
      </c>
      <c r="C11" s="21">
        <v>9.4045645480947808</v>
      </c>
      <c r="D11" s="21">
        <v>6.3001145475372278</v>
      </c>
      <c r="E11" s="21">
        <v>8.7313202379194177</v>
      </c>
      <c r="F11" s="21">
        <v>6.8493150684931505</v>
      </c>
      <c r="G11" s="22">
        <v>0</v>
      </c>
      <c r="H11" s="22">
        <v>100</v>
      </c>
      <c r="I11" s="23">
        <v>100</v>
      </c>
      <c r="J11" s="23">
        <v>71.311475409836063</v>
      </c>
      <c r="K11" s="23">
        <v>81.034482758620697</v>
      </c>
      <c r="L11" s="23">
        <v>60.294117647058812</v>
      </c>
      <c r="M11" s="24">
        <v>40</v>
      </c>
      <c r="N11" s="24">
        <v>25.806451612903235</v>
      </c>
      <c r="O11" s="24">
        <v>100</v>
      </c>
      <c r="P11" s="24">
        <v>36.84210526315789</v>
      </c>
      <c r="Q11" s="25">
        <v>3.2164714204563722</v>
      </c>
      <c r="R11" s="25">
        <v>4.9628079962807998</v>
      </c>
      <c r="S11" s="26">
        <v>32.075471698113212</v>
      </c>
      <c r="T11" s="26">
        <v>30.000000000000011</v>
      </c>
      <c r="U11" s="21">
        <v>64.400715563506253</v>
      </c>
      <c r="V11" s="22">
        <v>59.67946014339941</v>
      </c>
      <c r="W11" s="22">
        <v>55.822136003575551</v>
      </c>
      <c r="X11" s="22">
        <v>51.472856261566932</v>
      </c>
      <c r="Y11" s="22">
        <v>41.859482546706012</v>
      </c>
      <c r="Z11" s="23">
        <v>29.310344827586199</v>
      </c>
      <c r="AA11" s="23">
        <v>13.39725721040568</v>
      </c>
    </row>
    <row r="12" spans="1:27" x14ac:dyDescent="0.25">
      <c r="A12" s="27">
        <v>11</v>
      </c>
      <c r="B12" s="27" t="s">
        <v>35</v>
      </c>
      <c r="C12" s="21">
        <v>30.050980343275956</v>
      </c>
      <c r="D12" s="21">
        <v>60.595647193585336</v>
      </c>
      <c r="E12" s="21">
        <v>36.122933981390744</v>
      </c>
      <c r="F12" s="21">
        <v>68.493150684931507</v>
      </c>
      <c r="G12" s="22">
        <v>37.59639459188783</v>
      </c>
      <c r="H12" s="22">
        <v>12.83122793585982</v>
      </c>
      <c r="I12" s="23">
        <v>21.311475409836074</v>
      </c>
      <c r="J12" s="23">
        <v>0</v>
      </c>
      <c r="K12" s="23">
        <v>63.793103448275858</v>
      </c>
      <c r="L12" s="23">
        <v>43.382352941176457</v>
      </c>
      <c r="M12" s="24">
        <v>40</v>
      </c>
      <c r="N12" s="24">
        <v>80.645161290322591</v>
      </c>
      <c r="O12" s="24">
        <v>0</v>
      </c>
      <c r="P12" s="24">
        <v>0</v>
      </c>
      <c r="Q12" s="25">
        <v>40.704815596831764</v>
      </c>
      <c r="R12" s="25">
        <v>47.198977219897728</v>
      </c>
      <c r="S12" s="26">
        <v>69.811320754717016</v>
      </c>
      <c r="T12" s="26">
        <v>63.333333333333343</v>
      </c>
      <c r="U12" s="21">
        <v>64.400715563506253</v>
      </c>
      <c r="V12" s="22">
        <v>8.6883171657528422</v>
      </c>
      <c r="W12" s="22">
        <v>56.502058787169887</v>
      </c>
      <c r="X12" s="22">
        <v>22.948797038864889</v>
      </c>
      <c r="Y12" s="22">
        <v>39.103214110127823</v>
      </c>
      <c r="Z12" s="23">
        <v>70.689655172413808</v>
      </c>
      <c r="AA12" s="23">
        <v>44.152602614995139</v>
      </c>
    </row>
    <row r="13" spans="1:27" x14ac:dyDescent="0.25">
      <c r="A13" s="27">
        <v>12</v>
      </c>
      <c r="B13" s="27" t="s">
        <v>36</v>
      </c>
      <c r="C13" s="21">
        <v>38.711406384384311</v>
      </c>
      <c r="D13" s="21">
        <v>26.689576174112258</v>
      </c>
      <c r="E13" s="21">
        <v>28.021321446313735</v>
      </c>
      <c r="F13" s="21">
        <v>15.068493150684931</v>
      </c>
      <c r="G13" s="22">
        <v>39.188783174762143</v>
      </c>
      <c r="H13" s="22">
        <v>0</v>
      </c>
      <c r="I13" s="23">
        <v>57.377049180327852</v>
      </c>
      <c r="J13" s="23">
        <v>61.885245901639344</v>
      </c>
      <c r="K13" s="23">
        <v>50.000000000000014</v>
      </c>
      <c r="L13" s="23">
        <v>48.897058823529392</v>
      </c>
      <c r="M13" s="24">
        <v>40</v>
      </c>
      <c r="N13" s="24">
        <v>83.870967741935488</v>
      </c>
      <c r="O13" s="24">
        <v>62.558474271320598</v>
      </c>
      <c r="P13" s="24">
        <v>21.052631578947363</v>
      </c>
      <c r="Q13" s="25">
        <v>6.4650968371185735</v>
      </c>
      <c r="R13" s="25">
        <v>3.2310553231055321</v>
      </c>
      <c r="S13" s="26">
        <v>30.188679245282994</v>
      </c>
      <c r="T13" s="26">
        <v>100</v>
      </c>
      <c r="U13" s="21">
        <v>82.289803220035779</v>
      </c>
      <c r="V13" s="22">
        <v>64.361029101644874</v>
      </c>
      <c r="W13" s="22">
        <v>60.315332021034827</v>
      </c>
      <c r="X13" s="22">
        <v>0</v>
      </c>
      <c r="Y13" s="22">
        <v>28.712665929203517</v>
      </c>
      <c r="Z13" s="23">
        <v>87.931034482758633</v>
      </c>
      <c r="AA13" s="23">
        <v>40.848315908019963</v>
      </c>
    </row>
    <row r="14" spans="1:27" x14ac:dyDescent="0.25">
      <c r="A14" s="27">
        <v>13</v>
      </c>
      <c r="B14" s="27" t="s">
        <v>37</v>
      </c>
      <c r="C14" s="21">
        <v>6.6224587732309574</v>
      </c>
      <c r="D14" s="21">
        <v>11.683848797250858</v>
      </c>
      <c r="E14" s="21">
        <v>7.7189543361215929</v>
      </c>
      <c r="F14" s="21">
        <v>6.8493150684931505</v>
      </c>
      <c r="G14" s="22">
        <v>2.0630946419629441</v>
      </c>
      <c r="H14" s="22">
        <v>30.622899919186768</v>
      </c>
      <c r="I14" s="23">
        <v>86.885245901639337</v>
      </c>
      <c r="J14" s="23">
        <v>100</v>
      </c>
      <c r="K14" s="23">
        <v>39.655172413793096</v>
      </c>
      <c r="L14" s="23">
        <v>26.470588235294123</v>
      </c>
      <c r="M14" s="24">
        <v>20</v>
      </c>
      <c r="N14" s="24">
        <v>9.6774193548387171</v>
      </c>
      <c r="O14" s="24">
        <v>70.578445483987025</v>
      </c>
      <c r="P14" s="24">
        <v>47.368421052631582</v>
      </c>
      <c r="Q14" s="25">
        <v>9.9752414229215116</v>
      </c>
      <c r="R14" s="25">
        <v>9.4374709437470923</v>
      </c>
      <c r="S14" s="26">
        <v>26.41509433962263</v>
      </c>
      <c r="T14" s="26">
        <v>30.000000000000011</v>
      </c>
      <c r="U14" s="21">
        <v>40.250447227191408</v>
      </c>
      <c r="V14" s="22">
        <v>57.444116406579518</v>
      </c>
      <c r="W14" s="22">
        <v>0</v>
      </c>
      <c r="X14" s="22">
        <v>31.184454040715604</v>
      </c>
      <c r="Y14" s="22">
        <v>0</v>
      </c>
      <c r="Z14" s="23">
        <v>18.965517241379306</v>
      </c>
      <c r="AA14" s="23">
        <v>5.9700002396147287</v>
      </c>
    </row>
    <row r="15" spans="1:27" x14ac:dyDescent="0.25">
      <c r="A15" s="27">
        <v>14</v>
      </c>
      <c r="B15" s="27" t="s">
        <v>38</v>
      </c>
      <c r="C15" s="21">
        <v>1.9232926570855198</v>
      </c>
      <c r="D15" s="21">
        <v>8.5910652920962196</v>
      </c>
      <c r="E15" s="21">
        <v>0</v>
      </c>
      <c r="F15" s="21">
        <v>9.5890410958904102</v>
      </c>
      <c r="G15" s="22">
        <v>1.6024036054081119</v>
      </c>
      <c r="H15" s="22">
        <v>31.48526221768536</v>
      </c>
      <c r="I15" s="23">
        <v>24.590163934426222</v>
      </c>
      <c r="J15" s="23">
        <v>29.508196721311482</v>
      </c>
      <c r="K15" s="23">
        <v>12.068965517241368</v>
      </c>
      <c r="L15" s="23">
        <v>5.1470588235294059</v>
      </c>
      <c r="M15" s="24">
        <v>20</v>
      </c>
      <c r="N15" s="24">
        <v>51.612903225806448</v>
      </c>
      <c r="O15" s="24">
        <v>33.793630802446906</v>
      </c>
      <c r="P15" s="24">
        <v>42.105263157894733</v>
      </c>
      <c r="Q15" s="25">
        <v>18.70290779305688</v>
      </c>
      <c r="R15" s="25">
        <v>26.011157601115762</v>
      </c>
      <c r="S15" s="26">
        <v>15.094339622641465</v>
      </c>
      <c r="T15" s="26">
        <v>0</v>
      </c>
      <c r="U15" s="21">
        <v>53.667262969588549</v>
      </c>
      <c r="V15" s="22">
        <v>10.670603121045971</v>
      </c>
      <c r="W15" s="22">
        <v>9.960155573940396</v>
      </c>
      <c r="X15" s="22">
        <v>47.015731030228231</v>
      </c>
      <c r="Y15" s="22">
        <v>5.2252335299901338</v>
      </c>
      <c r="Z15" s="23">
        <v>5.1724137931034306</v>
      </c>
      <c r="AA15" s="23">
        <v>0.58785472959482188</v>
      </c>
    </row>
    <row r="16" spans="1:27" x14ac:dyDescent="0.25">
      <c r="A16" s="27">
        <v>15</v>
      </c>
      <c r="B16" s="27" t="s">
        <v>39</v>
      </c>
      <c r="C16" s="21">
        <v>40.597305146646391</v>
      </c>
      <c r="D16" s="21">
        <v>51.890034364261176</v>
      </c>
      <c r="E16" s="21">
        <v>35.477114354381776</v>
      </c>
      <c r="F16" s="21">
        <v>46.575342465753423</v>
      </c>
      <c r="G16" s="22">
        <v>31.967951927891836</v>
      </c>
      <c r="H16" s="22">
        <v>29.555314533622568</v>
      </c>
      <c r="I16" s="23">
        <v>77.049180327868854</v>
      </c>
      <c r="J16" s="23">
        <v>9.0163934426229613</v>
      </c>
      <c r="K16" s="23">
        <v>41.379310344827601</v>
      </c>
      <c r="L16" s="23">
        <v>20.95588235294117</v>
      </c>
      <c r="M16" s="24">
        <v>20</v>
      </c>
      <c r="N16" s="24">
        <v>38.709677419354826</v>
      </c>
      <c r="O16" s="24">
        <v>53.562432529686923</v>
      </c>
      <c r="P16" s="24">
        <v>26.315789473684209</v>
      </c>
      <c r="Q16" s="25">
        <v>2.9838908479008799</v>
      </c>
      <c r="R16" s="25">
        <v>3.7192003719200368</v>
      </c>
      <c r="S16" s="26">
        <v>67.924528301886795</v>
      </c>
      <c r="T16" s="26">
        <v>73.333333333333343</v>
      </c>
      <c r="U16" s="21">
        <v>40.250447227191408</v>
      </c>
      <c r="V16" s="22">
        <v>51.876845212990311</v>
      </c>
      <c r="W16" s="22">
        <v>54.898772335225722</v>
      </c>
      <c r="X16" s="22">
        <v>26.765885256014787</v>
      </c>
      <c r="Y16" s="22">
        <v>13.994515117994123</v>
      </c>
      <c r="Z16" s="23">
        <v>100</v>
      </c>
      <c r="AA16" s="23">
        <v>9.7654970806942707</v>
      </c>
    </row>
    <row r="17" spans="1:27" x14ac:dyDescent="0.25">
      <c r="A17" s="27">
        <v>16</v>
      </c>
      <c r="B17" s="27" t="s">
        <v>40</v>
      </c>
      <c r="C17" s="21">
        <v>14.788038939509143</v>
      </c>
      <c r="D17" s="21">
        <v>61.168384879725089</v>
      </c>
      <c r="E17" s="21">
        <v>21.216718806643488</v>
      </c>
      <c r="F17" s="21">
        <v>45.205479452054789</v>
      </c>
      <c r="G17" s="22">
        <v>16.314471707561342</v>
      </c>
      <c r="H17" s="22">
        <v>39.989792012249609</v>
      </c>
      <c r="I17" s="23">
        <v>31.147540983606557</v>
      </c>
      <c r="J17" s="23">
        <v>9.4262295081967356</v>
      </c>
      <c r="K17" s="23">
        <v>74.137931034482747</v>
      </c>
      <c r="L17" s="23">
        <v>33.088235294117645</v>
      </c>
      <c r="M17" s="24">
        <v>20</v>
      </c>
      <c r="N17" s="24">
        <v>100</v>
      </c>
      <c r="O17" s="24">
        <v>69.494422454120169</v>
      </c>
      <c r="P17" s="24">
        <v>42.105263157894733</v>
      </c>
      <c r="Q17" s="25">
        <v>100</v>
      </c>
      <c r="R17" s="25">
        <v>100</v>
      </c>
      <c r="S17" s="26">
        <v>50.943396226415103</v>
      </c>
      <c r="T17" s="26">
        <v>63.333333333333343</v>
      </c>
      <c r="U17" s="21">
        <v>82.289803220035779</v>
      </c>
      <c r="V17" s="22">
        <v>4.2176296921130323</v>
      </c>
      <c r="W17" s="22">
        <v>12.713129641780508</v>
      </c>
      <c r="X17" s="22">
        <v>68.576495990129544</v>
      </c>
      <c r="Y17" s="22">
        <v>30.905082350049142</v>
      </c>
      <c r="Z17" s="23">
        <v>32.758620689655174</v>
      </c>
      <c r="AA17" s="23">
        <v>20.474277362001917</v>
      </c>
    </row>
    <row r="18" spans="1:27" x14ac:dyDescent="0.25">
      <c r="T18" s="36"/>
      <c r="Z18" s="36"/>
    </row>
    <row r="19" spans="1:27" x14ac:dyDescent="0.25">
      <c r="T19" t="s">
        <v>83</v>
      </c>
      <c r="Z19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OPIS</vt:lpstr>
      <vt:lpstr>dane</vt:lpstr>
      <vt:lpstr>pokategoryzowane</vt:lpstr>
      <vt:lpstr>znormalizowane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Daniel Faltynowski</cp:lastModifiedBy>
  <cp:revision>4</cp:revision>
  <dcterms:created xsi:type="dcterms:W3CDTF">2026-03-03T21:07:50Z</dcterms:created>
  <dcterms:modified xsi:type="dcterms:W3CDTF">2026-03-10T15:48:14Z</dcterms:modified>
  <dc:language>en-GB</dc:language>
</cp:coreProperties>
</file>