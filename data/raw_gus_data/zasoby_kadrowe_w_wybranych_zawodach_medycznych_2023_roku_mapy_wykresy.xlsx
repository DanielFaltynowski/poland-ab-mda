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/>
  <mc:AlternateContent xmlns:mc="http://schemas.openxmlformats.org/markup-compatibility/2006">
    <mc:Choice Requires="x15">
      <x15ac:absPath xmlns:x15ac="http://schemas.microsoft.com/office/spreadsheetml/2010/11/ac" url="\\vmfgus09\SP\SP-02\Całość_Wydział 02\infoSygn_Kadra medyczna\2024\Do wysłania w SEOD\"/>
    </mc:Choice>
  </mc:AlternateContent>
  <xr:revisionPtr revIDLastSave="0" documentId="13_ncr:1_{E7B67029-05D7-4E5C-9AB4-6C6B0C05BE3C}" xr6:coauthVersionLast="36" xr6:coauthVersionMax="36" xr10:uidLastSave="{00000000-0000-0000-0000-000000000000}"/>
  <bookViews>
    <workbookView xWindow="-105" yWindow="-105" windowWidth="23250" windowHeight="12570" firstSheet="12" activeTab="15" xr2:uid="{00000000-000D-0000-FFFF-FFFF00000000}"/>
  </bookViews>
  <sheets>
    <sheet name="wykres 1" sheetId="48" r:id="rId1"/>
    <sheet name="Tablica 3" sheetId="28" r:id="rId2"/>
    <sheet name="mapa 1" sheetId="29" r:id="rId3"/>
    <sheet name="tablica 4" sheetId="31" r:id="rId4"/>
    <sheet name="wykres 2" sheetId="49" r:id="rId5"/>
    <sheet name="Tablica 7" sheetId="27" r:id="rId6"/>
    <sheet name="mapa 2" sheetId="30" r:id="rId7"/>
    <sheet name="wykres 3" sheetId="50" r:id="rId8"/>
    <sheet name="Tablica 10" sheetId="36" r:id="rId9"/>
    <sheet name="mapa 3" sheetId="38" r:id="rId10"/>
    <sheet name="wykres 4" sheetId="51" r:id="rId11"/>
    <sheet name="Tablica 12" sheetId="37" r:id="rId12"/>
    <sheet name="mapa 4" sheetId="39" r:id="rId13"/>
    <sheet name="wykres 5" sheetId="52" r:id="rId14"/>
    <sheet name="Tablica 15" sheetId="47" r:id="rId15"/>
    <sheet name="mapa 5" sheetId="4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8" l="1"/>
  <c r="C20" i="28"/>
  <c r="C19" i="28"/>
  <c r="C18" i="28"/>
  <c r="C17" i="28"/>
  <c r="C16" i="28"/>
  <c r="C15" i="28"/>
  <c r="C14" i="28"/>
  <c r="C13" i="28"/>
  <c r="C12" i="28"/>
  <c r="C11" i="28"/>
  <c r="C10" i="28"/>
  <c r="F18" i="28" l="1"/>
  <c r="M6" i="37" l="1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5" i="37"/>
  <c r="N6" i="36"/>
  <c r="N7" i="36"/>
  <c r="N8" i="36"/>
  <c r="N9" i="36"/>
  <c r="N10" i="36"/>
  <c r="N11" i="36"/>
  <c r="N12" i="36"/>
  <c r="N13" i="36"/>
  <c r="N14" i="36"/>
  <c r="N15" i="36"/>
  <c r="N16" i="36"/>
  <c r="N17" i="36"/>
  <c r="N18" i="36"/>
  <c r="N19" i="36"/>
  <c r="N20" i="36"/>
  <c r="N21" i="36"/>
  <c r="N5" i="36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5" i="27"/>
  <c r="F21" i="28" l="1"/>
  <c r="F20" i="28"/>
  <c r="F19" i="28"/>
  <c r="F17" i="28"/>
  <c r="F16" i="28"/>
  <c r="F15" i="28"/>
  <c r="F14" i="28"/>
  <c r="F13" i="28"/>
  <c r="F12" i="28"/>
  <c r="F11" i="28"/>
  <c r="F10" i="28"/>
  <c r="F9" i="28"/>
  <c r="F8" i="28"/>
  <c r="F7" i="28"/>
  <c r="F6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5" i="28"/>
  <c r="N18" i="47" l="1"/>
  <c r="M6" i="47"/>
  <c r="M7" i="47"/>
  <c r="M8" i="47"/>
  <c r="M9" i="47"/>
  <c r="M10" i="47"/>
  <c r="M11" i="47"/>
  <c r="M12" i="47"/>
  <c r="M13" i="47"/>
  <c r="M14" i="47"/>
  <c r="M15" i="47"/>
  <c r="M16" i="47"/>
  <c r="M17" i="47"/>
  <c r="M18" i="47"/>
  <c r="M19" i="47"/>
  <c r="M20" i="47"/>
  <c r="M21" i="47"/>
  <c r="M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5" i="47"/>
  <c r="K6" i="37"/>
  <c r="K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5" i="37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5" i="36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C6" i="37" l="1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5" i="37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5" i="36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5" i="27"/>
  <c r="C6" i="28"/>
  <c r="C7" i="28"/>
  <c r="C8" i="28"/>
  <c r="C9" i="28"/>
  <c r="C5" i="28"/>
  <c r="F7" i="46" l="1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6" i="46"/>
  <c r="I5" i="37" l="1"/>
  <c r="G5" i="31" l="1"/>
  <c r="G6" i="31" l="1"/>
  <c r="G7" i="31"/>
  <c r="G8" i="31"/>
  <c r="G9" i="31"/>
  <c r="G10" i="31"/>
  <c r="G11" i="31"/>
  <c r="G14" i="31"/>
  <c r="G12" i="31"/>
  <c r="G13" i="31"/>
  <c r="G15" i="31"/>
  <c r="G16" i="31"/>
  <c r="G17" i="31"/>
  <c r="G18" i="31"/>
  <c r="G19" i="31"/>
  <c r="G23" i="31"/>
  <c r="G20" i="31"/>
  <c r="G21" i="31"/>
  <c r="G24" i="31"/>
  <c r="G22" i="31"/>
  <c r="G25" i="31"/>
  <c r="G26" i="31"/>
  <c r="G28" i="31"/>
  <c r="G27" i="31"/>
  <c r="I6" i="31" l="1"/>
  <c r="I7" i="31"/>
  <c r="I8" i="31"/>
  <c r="I9" i="31"/>
  <c r="I10" i="31"/>
  <c r="I11" i="31"/>
  <c r="I12" i="31"/>
  <c r="I14" i="31"/>
  <c r="I13" i="31"/>
  <c r="I15" i="31"/>
  <c r="I16" i="31"/>
  <c r="I17" i="31"/>
  <c r="I18" i="31"/>
  <c r="I19" i="31"/>
  <c r="I23" i="31"/>
  <c r="I20" i="31"/>
  <c r="I21" i="31"/>
  <c r="I24" i="31"/>
  <c r="I22" i="31"/>
  <c r="I25" i="31"/>
  <c r="I26" i="31"/>
  <c r="I28" i="31"/>
  <c r="I27" i="31"/>
  <c r="I5" i="31"/>
</calcChain>
</file>

<file path=xl/sharedStrings.xml><?xml version="1.0" encoding="utf-8"?>
<sst xmlns="http://schemas.openxmlformats.org/spreadsheetml/2006/main" count="350" uniqueCount="81">
  <si>
    <t>Chirurgia ogólna</t>
  </si>
  <si>
    <t>Choroby płuc</t>
  </si>
  <si>
    <t>Choroby wewnętrzne</t>
  </si>
  <si>
    <t>Dermatologia i wenerologia</t>
  </si>
  <si>
    <t>Diabetologia</t>
  </si>
  <si>
    <t>Medycyna pracy</t>
  </si>
  <si>
    <t>Medycyna rodzinna</t>
  </si>
  <si>
    <t>Nefrologia</t>
  </si>
  <si>
    <t>Neonatologia</t>
  </si>
  <si>
    <t>Endokrynologia</t>
  </si>
  <si>
    <t>Anestezjologia i intensywna terapia</t>
  </si>
  <si>
    <t>Neurologia</t>
  </si>
  <si>
    <t>Okulistyka</t>
  </si>
  <si>
    <t>Ortopedia i traumatologia narządu ruchu</t>
  </si>
  <si>
    <t>Otorynolaryngologia</t>
  </si>
  <si>
    <t>Pediatria</t>
  </si>
  <si>
    <t>Położnictwo i ginekologia</t>
  </si>
  <si>
    <t>Psychiatria</t>
  </si>
  <si>
    <t>Radiologia i diagnostyka obrazowa</t>
  </si>
  <si>
    <t>Rehabilitacja medyczna</t>
  </si>
  <si>
    <t>Urologia</t>
  </si>
  <si>
    <t>Alergologia</t>
  </si>
  <si>
    <t>Kardiologia</t>
  </si>
  <si>
    <t>Reumatologia</t>
  </si>
  <si>
    <t>Dolnośląskie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</si>
  <si>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</si>
  <si>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</si>
  <si>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</si>
  <si>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</si>
  <si>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</si>
  <si>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</si>
  <si>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</si>
  <si>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</si>
  <si>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</si>
  <si>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</si>
  <si>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</si>
  <si>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</si>
  <si>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</si>
  <si>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</si>
  <si>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Stan w dniu 31 grudnia</t>
  </si>
  <si>
    <t>w tysiącach</t>
  </si>
  <si>
    <t>w %</t>
  </si>
  <si>
    <t>Kujawsko-pomorskie</t>
  </si>
  <si>
    <t>Województwa</t>
  </si>
  <si>
    <t>na 10 000 mieszkańców</t>
  </si>
  <si>
    <t xml:space="preserve">Ogółem </t>
  </si>
  <si>
    <t>Specjalizacja</t>
  </si>
  <si>
    <t>w % ogółu lekarzy specjalistów</t>
  </si>
  <si>
    <t xml:space="preserve">Tablica 12. Położne pracujące bezpośrednio z pacjentem według województw </t>
  </si>
  <si>
    <t>na 10 000 kobiet</t>
  </si>
  <si>
    <t>w liczbach bezwzględnych</t>
  </si>
  <si>
    <t>ludność na 31.12.2023 r.</t>
  </si>
  <si>
    <t>Mapa 1.  Lekarze pracujący bezpośrednio z pacjentem według województw w przeliczeniu na 10 tys. mieszkańców w 2023 r.</t>
  </si>
  <si>
    <t>Mapa 3.  Pielęgniarki pracujące bezpośrednio z pacjentem według województw w przeliczeniu na 10 tys. mieszkańców w 2023 r.</t>
  </si>
  <si>
    <t>ludność na 31.12.2022 r. kobiety</t>
  </si>
  <si>
    <t>Ludność na 31.12.2023 r. kobiety</t>
  </si>
  <si>
    <t>Mapa 4.  Położne pracujące bezpośrednio z pacjentem według województw w przeliczeniu na 10 tys. kobiet w 2023 r.</t>
  </si>
  <si>
    <t>kobiety na 31.12.2023 r.</t>
  </si>
  <si>
    <t xml:space="preserve">Tablica 3. Lekarze pracujący bezpośrednio z pacjentem według województw </t>
  </si>
  <si>
    <t xml:space="preserve">Tablica 5. Najczęściej występujące specjalizacje lekarzy pracujących bezpośrednio z pacjentem </t>
  </si>
  <si>
    <t xml:space="preserve">Tablica 7. Lekarze dentyści pracujący bezpośrednio z pacjentem według województw </t>
  </si>
  <si>
    <t>Mapa 2.  Lekarze dentyści pracujący bezpośrednio z pacjentem według województw w przeliczeniu na 10 tys. mieszkańców w 2023 r.</t>
  </si>
  <si>
    <t>Mapa 5.  Fizjoterapeuci pracujący bezpośrednio z pacjentem według województw w przeliczeniu na 10 tys. mieszkańców w 2023 r.</t>
  </si>
  <si>
    <t xml:space="preserve">Tablica 10. Pielęgniarki pracujące bezpośrednio z pacjentem według województw </t>
  </si>
  <si>
    <t>ludność 2022</t>
  </si>
  <si>
    <t xml:space="preserve">Tablica 15. Fijoterapeuci pracujący bezpośrednio z pacjentem według województw </t>
  </si>
  <si>
    <t>ludność 2023</t>
  </si>
  <si>
    <t>Wykres 1.  Struktura lekarzy pracujących bezpośrednio z pacjentem według płci i grup wieku</t>
  </si>
  <si>
    <t>do 29 lat</t>
  </si>
  <si>
    <t>30-39</t>
  </si>
  <si>
    <t>40-49</t>
  </si>
  <si>
    <t>50-59</t>
  </si>
  <si>
    <t>60-69</t>
  </si>
  <si>
    <t>70-79</t>
  </si>
  <si>
    <t>80 lat lub więcej</t>
  </si>
  <si>
    <t>mężczyźni</t>
  </si>
  <si>
    <t>kobiety</t>
  </si>
  <si>
    <t>Wykres 2.  Struktura lekarzy dentystów pracujących bezpośrednio z pacjentem według płci i grup wieku</t>
  </si>
  <si>
    <t>Wykres 3.  Struktura pielęgniarek pracujących bezpośrednio z pacjentem według płci i grup wieku</t>
  </si>
  <si>
    <t>Wykres 4.  Struktura położnych (kobiet) pracujących bezpośrednio z pacjentem według płci i grup wieku</t>
  </si>
  <si>
    <t>Wykres 5.  Struktura fizjoterapeutów pracujących bezpośrednio z pacjentem według płci i grup wieku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</si>
</sst>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0"/>
      <name val="Arial CE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70C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9.5"/>
      <name val="Fira Sans"/>
      <family val="2"/>
      <charset val="238"/>
    </font>
    <font>
      <b/>
      <sz val="10"/>
      <name val="Arial"/>
      <family val="2"/>
    </font>
    <font>
      <sz val="11"/>
      <name val="Fira Sans"/>
      <family val="2"/>
      <charset val="238"/>
    </font>
    <font>
      <b/>
      <sz val="9.5"/>
      <name val="Fira Sans"/>
      <family val="2"/>
      <charset val="238"/>
    </font>
    <font>
      <sz val="8"/>
      <name val="Fira Sans"/>
      <family val="2"/>
      <charset val="238"/>
    </font>
    <font>
      <i/>
      <sz val="11"/>
      <name val="Calibri"/>
      <family val="2"/>
      <charset val="238"/>
      <scheme val="minor"/>
    </font>
    <font>
      <i/>
      <sz val="11"/>
      <color rgb="FF0070C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7030A0"/>
      </right>
      <top/>
      <bottom style="thick">
        <color rgb="FF522398"/>
      </bottom>
      <diagonal/>
    </border>
    <border>
      <left/>
      <right style="medium">
        <color rgb="FF7030A0"/>
      </right>
      <top/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thick">
        <color rgb="FF522398"/>
      </bottom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/>
      <bottom/>
      <diagonal/>
    </border>
    <border>
      <left style="medium">
        <color rgb="FF001D77"/>
      </left>
      <right style="medium">
        <color rgb="FF001D77"/>
      </right>
      <top style="thick">
        <color rgb="FF001D77"/>
      </top>
      <bottom/>
      <diagonal/>
    </border>
    <border>
      <left style="medium">
        <color rgb="FF001D77"/>
      </left>
      <right style="medium">
        <color rgb="FF001D77"/>
      </right>
      <top/>
      <bottom/>
      <diagonal/>
    </border>
  </borders>
  <cellStyleXfs count="48">
    <xf numFmtId="0" fontId="0" fillId="0" borderId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8" applyNumberFormat="0" applyAlignment="0" applyProtection="0"/>
    <xf numFmtId="0" fontId="10" fillId="6" borderId="9" applyNumberFormat="0" applyAlignment="0" applyProtection="0"/>
    <xf numFmtId="0" fontId="11" fillId="6" borderId="8" applyNumberFormat="0" applyAlignment="0" applyProtection="0"/>
    <xf numFmtId="0" fontId="12" fillId="0" borderId="10" applyNumberFormat="0" applyFill="0" applyAlignment="0" applyProtection="0"/>
    <xf numFmtId="0" fontId="13" fillId="7" borderId="11" applyNumberFormat="0" applyAlignment="0" applyProtection="0"/>
    <xf numFmtId="0" fontId="14" fillId="0" borderId="0" applyNumberFormat="0" applyFill="0" applyBorder="0" applyAlignment="0" applyProtection="0"/>
    <xf numFmtId="0" fontId="2" fillId="8" borderId="12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/>
    <xf numFmtId="0" fontId="21" fillId="0" borderId="0"/>
    <xf numFmtId="0" fontId="2" fillId="0" borderId="0"/>
    <xf numFmtId="0" fontId="20" fillId="0" borderId="0"/>
  </cellStyleXfs>
  <cellXfs count="130">
    <xf numFmtId="0" fontId="0" fillId="0" borderId="0" xfId="0"/>
    <xf numFmtId="0" fontId="22" fillId="34" borderId="0" xfId="0" applyFont="1" applyFill="1"/>
    <xf numFmtId="0" fontId="22" fillId="0" borderId="0" xfId="0" applyFont="1"/>
    <xf numFmtId="164" fontId="22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45" applyFont="1" applyAlignment="1">
      <alignment horizontal="right" vertical="top"/>
    </xf>
    <xf numFmtId="1" fontId="20" fillId="0" borderId="0" xfId="45" applyNumberFormat="1" applyFont="1" applyAlignment="1">
      <alignment horizontal="right" vertical="center"/>
    </xf>
    <xf numFmtId="0" fontId="20" fillId="0" borderId="0" xfId="45" applyFont="1" applyAlignment="1">
      <alignment horizontal="right" vertical="center"/>
    </xf>
    <xf numFmtId="0" fontId="24" fillId="0" borderId="2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16" xfId="0" applyFont="1" applyBorder="1" applyAlignment="1">
      <alignment vertical="center"/>
    </xf>
    <xf numFmtId="164" fontId="26" fillId="0" borderId="16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164" fontId="26" fillId="0" borderId="15" xfId="0" applyNumberFormat="1" applyFont="1" applyBorder="1" applyAlignment="1">
      <alignment horizontal="center" vertical="center"/>
    </xf>
    <xf numFmtId="164" fontId="27" fillId="0" borderId="17" xfId="0" applyNumberFormat="1" applyFont="1" applyBorder="1" applyAlignment="1">
      <alignment horizontal="right" vertical="center"/>
    </xf>
    <xf numFmtId="164" fontId="24" fillId="0" borderId="17" xfId="0" applyNumberFormat="1" applyFont="1" applyBorder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164" fontId="27" fillId="0" borderId="16" xfId="0" applyNumberFormat="1" applyFont="1" applyBorder="1" applyAlignment="1">
      <alignment horizontal="right" vertical="center" wrapText="1"/>
    </xf>
    <xf numFmtId="164" fontId="24" fillId="0" borderId="16" xfId="0" applyNumberFormat="1" applyFont="1" applyBorder="1" applyAlignment="1">
      <alignment horizontal="right" vertical="center" wrapText="1"/>
    </xf>
    <xf numFmtId="164" fontId="24" fillId="0" borderId="15" xfId="0" applyNumberFormat="1" applyFont="1" applyBorder="1" applyAlignment="1">
      <alignment horizontal="right" vertical="center" wrapText="1"/>
    </xf>
    <xf numFmtId="164" fontId="27" fillId="0" borderId="16" xfId="0" applyNumberFormat="1" applyFont="1" applyBorder="1" applyAlignment="1">
      <alignment horizontal="right" vertical="center"/>
    </xf>
    <xf numFmtId="0" fontId="27" fillId="0" borderId="0" xfId="0" applyFont="1"/>
    <xf numFmtId="0" fontId="24" fillId="0" borderId="14" xfId="0" applyFont="1" applyBorder="1" applyAlignment="1">
      <alignment horizontal="center" vertical="center" wrapText="1"/>
    </xf>
    <xf numFmtId="0" fontId="27" fillId="0" borderId="16" xfId="0" applyFont="1" applyBorder="1" applyAlignment="1">
      <alignment vertical="center"/>
    </xf>
    <xf numFmtId="164" fontId="24" fillId="0" borderId="4" xfId="0" applyNumberFormat="1" applyFont="1" applyBorder="1"/>
    <xf numFmtId="164" fontId="24" fillId="0" borderId="3" xfId="0" applyNumberFormat="1" applyFont="1" applyBorder="1"/>
    <xf numFmtId="164" fontId="24" fillId="0" borderId="1" xfId="0" applyNumberFormat="1" applyFont="1" applyBorder="1" applyAlignment="1">
      <alignment horizontal="right" vertical="center" wrapText="1"/>
    </xf>
    <xf numFmtId="164" fontId="27" fillId="0" borderId="1" xfId="0" applyNumberFormat="1" applyFont="1" applyBorder="1"/>
    <xf numFmtId="164" fontId="24" fillId="0" borderId="1" xfId="0" applyNumberFormat="1" applyFont="1" applyBorder="1"/>
    <xf numFmtId="164" fontId="27" fillId="0" borderId="1" xfId="0" applyNumberFormat="1" applyFont="1" applyBorder="1" applyAlignment="1">
      <alignment horizontal="right" vertical="center"/>
    </xf>
    <xf numFmtId="0" fontId="23" fillId="0" borderId="1" xfId="0" applyFont="1" applyBorder="1"/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wrapText="1"/>
    </xf>
    <xf numFmtId="0" fontId="27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3" fontId="27" fillId="0" borderId="2" xfId="0" applyNumberFormat="1" applyFont="1" applyBorder="1"/>
    <xf numFmtId="3" fontId="24" fillId="0" borderId="4" xfId="0" applyNumberFormat="1" applyFont="1" applyBorder="1"/>
    <xf numFmtId="3" fontId="24" fillId="0" borderId="3" xfId="0" applyNumberFormat="1" applyFont="1" applyBorder="1"/>
    <xf numFmtId="164" fontId="27" fillId="0" borderId="1" xfId="0" applyNumberFormat="1" applyFont="1" applyBorder="1" applyAlignment="1">
      <alignment horizontal="right" vertical="center" wrapText="1"/>
    </xf>
    <xf numFmtId="164" fontId="27" fillId="0" borderId="2" xfId="0" applyNumberFormat="1" applyFont="1" applyBorder="1"/>
    <xf numFmtId="0" fontId="23" fillId="0" borderId="0" xfId="0" applyFont="1" applyFill="1"/>
    <xf numFmtId="0" fontId="29" fillId="0" borderId="0" xfId="0" applyFont="1"/>
    <xf numFmtId="0" fontId="23" fillId="0" borderId="4" xfId="0" applyFont="1" applyBorder="1"/>
    <xf numFmtId="164" fontId="23" fillId="0" borderId="0" xfId="0" applyNumberFormat="1" applyFont="1"/>
    <xf numFmtId="0" fontId="30" fillId="0" borderId="0" xfId="0" applyFont="1"/>
    <xf numFmtId="0" fontId="22" fillId="0" borderId="4" xfId="0" applyFont="1" applyBorder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right" vertical="center"/>
    </xf>
    <xf numFmtId="165" fontId="27" fillId="0" borderId="2" xfId="0" applyNumberFormat="1" applyFont="1" applyBorder="1"/>
    <xf numFmtId="0" fontId="25" fillId="0" borderId="0" xfId="0" applyFont="1" applyAlignment="1">
      <alignment horizontal="right" vertical="top"/>
    </xf>
    <xf numFmtId="164" fontId="24" fillId="0" borderId="16" xfId="0" applyNumberFormat="1" applyFont="1" applyBorder="1" applyAlignment="1">
      <alignment horizontal="right" vertical="center"/>
    </xf>
    <xf numFmtId="165" fontId="24" fillId="0" borderId="4" xfId="0" applyNumberFormat="1" applyFont="1" applyBorder="1"/>
    <xf numFmtId="1" fontId="23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165" fontId="24" fillId="0" borderId="3" xfId="0" applyNumberFormat="1" applyFont="1" applyBorder="1"/>
    <xf numFmtId="3" fontId="27" fillId="0" borderId="0" xfId="0" applyNumberFormat="1" applyFont="1" applyAlignment="1">
      <alignment horizontal="right" vertical="center" wrapText="1"/>
    </xf>
    <xf numFmtId="1" fontId="23" fillId="0" borderId="0" xfId="0" applyNumberFormat="1" applyFont="1"/>
    <xf numFmtId="3" fontId="24" fillId="0" borderId="0" xfId="0" applyNumberFormat="1" applyFont="1" applyAlignment="1">
      <alignment horizontal="right" vertical="center" wrapText="1"/>
    </xf>
    <xf numFmtId="0" fontId="23" fillId="33" borderId="0" xfId="0" applyFont="1" applyFill="1"/>
    <xf numFmtId="0" fontId="23" fillId="34" borderId="0" xfId="0" applyFont="1" applyFill="1"/>
    <xf numFmtId="164" fontId="26" fillId="0" borderId="17" xfId="0" applyNumberFormat="1" applyFont="1" applyBorder="1" applyAlignment="1">
      <alignment horizontal="right" vertical="center"/>
    </xf>
    <xf numFmtId="164" fontId="28" fillId="0" borderId="21" xfId="0" applyNumberFormat="1" applyFont="1" applyBorder="1" applyAlignment="1">
      <alignment horizontal="right" vertical="center"/>
    </xf>
    <xf numFmtId="164" fontId="28" fillId="0" borderId="22" xfId="0" applyNumberFormat="1" applyFont="1" applyBorder="1" applyAlignment="1">
      <alignment horizontal="right" vertical="center"/>
    </xf>
    <xf numFmtId="164" fontId="26" fillId="33" borderId="15" xfId="0" applyNumberFormat="1" applyFont="1" applyFill="1" applyBorder="1" applyAlignment="1">
      <alignment horizontal="center" vertical="center"/>
    </xf>
    <xf numFmtId="0" fontId="29" fillId="0" borderId="0" xfId="0" applyFont="1" applyFill="1"/>
    <xf numFmtId="0" fontId="23" fillId="0" borderId="4" xfId="0" applyFont="1" applyFill="1" applyBorder="1"/>
    <xf numFmtId="164" fontId="23" fillId="0" borderId="0" xfId="0" applyNumberFormat="1" applyFont="1" applyFill="1"/>
    <xf numFmtId="0" fontId="24" fillId="0" borderId="2" xfId="0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right" vertical="center"/>
    </xf>
    <xf numFmtId="1" fontId="24" fillId="0" borderId="0" xfId="0" applyNumberFormat="1" applyFont="1" applyAlignment="1">
      <alignment horizontal="right" vertical="center"/>
    </xf>
    <xf numFmtId="0" fontId="27" fillId="34" borderId="0" xfId="0" applyFont="1" applyFill="1"/>
    <xf numFmtId="0" fontId="24" fillId="34" borderId="0" xfId="0" applyFont="1" applyFill="1"/>
    <xf numFmtId="0" fontId="24" fillId="0" borderId="1" xfId="0" applyFont="1" applyBorder="1" applyAlignment="1">
      <alignment horizontal="center" vertical="center" wrapText="1"/>
    </xf>
    <xf numFmtId="1" fontId="25" fillId="0" borderId="1" xfId="45" applyNumberFormat="1" applyFont="1" applyBorder="1" applyAlignment="1">
      <alignment horizontal="right" vertical="top"/>
    </xf>
    <xf numFmtId="0" fontId="27" fillId="0" borderId="1" xfId="0" applyFont="1" applyBorder="1"/>
    <xf numFmtId="164" fontId="24" fillId="0" borderId="1" xfId="0" applyNumberFormat="1" applyFont="1" applyBorder="1" applyAlignment="1">
      <alignment horizontal="right" vertical="center"/>
    </xf>
    <xf numFmtId="1" fontId="20" fillId="0" borderId="1" xfId="45" applyNumberFormat="1" applyFont="1" applyBorder="1" applyAlignment="1">
      <alignment horizontal="right" vertical="center"/>
    </xf>
    <xf numFmtId="0" fontId="24" fillId="0" borderId="1" xfId="0" applyFont="1" applyBorder="1"/>
    <xf numFmtId="0" fontId="20" fillId="0" borderId="1" xfId="45" applyFont="1" applyBorder="1" applyAlignment="1">
      <alignment horizontal="right" vertical="center"/>
    </xf>
    <xf numFmtId="0" fontId="24" fillId="0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1" fontId="27" fillId="0" borderId="1" xfId="0" applyNumberFormat="1" applyFont="1" applyBorder="1" applyAlignment="1">
      <alignment horizontal="right" vertical="center" wrapText="1"/>
    </xf>
    <xf numFmtId="0" fontId="31" fillId="0" borderId="0" xfId="0" applyFont="1"/>
    <xf numFmtId="0" fontId="24" fillId="0" borderId="0" xfId="0" applyFont="1" applyAlignment="1">
      <alignment vertical="center"/>
    </xf>
    <xf numFmtId="0" fontId="27" fillId="0" borderId="16" xfId="0" applyFont="1" applyBorder="1" applyAlignment="1">
      <alignment horizontal="right" vertical="center" wrapText="1"/>
    </xf>
    <xf numFmtId="0" fontId="27" fillId="0" borderId="0" xfId="0" applyFont="1" applyFill="1"/>
    <xf numFmtId="0" fontId="24" fillId="0" borderId="0" xfId="0" applyFont="1" applyFill="1"/>
    <xf numFmtId="0" fontId="24" fillId="0" borderId="15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wrapText="1"/>
    </xf>
    <xf numFmtId="0" fontId="27" fillId="0" borderId="16" xfId="0" applyFont="1" applyFill="1" applyBorder="1" applyAlignment="1">
      <alignment vertical="center"/>
    </xf>
    <xf numFmtId="164" fontId="27" fillId="0" borderId="16" xfId="0" applyNumberFormat="1" applyFont="1" applyFill="1" applyBorder="1" applyAlignment="1">
      <alignment horizontal="right" vertical="center" wrapText="1"/>
    </xf>
    <xf numFmtId="164" fontId="27" fillId="0" borderId="2" xfId="0" applyNumberFormat="1" applyFont="1" applyFill="1" applyBorder="1"/>
    <xf numFmtId="0" fontId="27" fillId="0" borderId="16" xfId="0" applyFont="1" applyFill="1" applyBorder="1" applyAlignment="1">
      <alignment horizontal="right" vertical="center" wrapText="1"/>
    </xf>
    <xf numFmtId="164" fontId="27" fillId="0" borderId="16" xfId="0" applyNumberFormat="1" applyFont="1" applyFill="1" applyBorder="1" applyAlignment="1">
      <alignment horizontal="right" vertical="center"/>
    </xf>
    <xf numFmtId="164" fontId="27" fillId="0" borderId="17" xfId="0" applyNumberFormat="1" applyFont="1" applyFill="1" applyBorder="1" applyAlignment="1">
      <alignment horizontal="right" vertical="center"/>
    </xf>
    <xf numFmtId="1" fontId="27" fillId="0" borderId="0" xfId="0" applyNumberFormat="1" applyFont="1" applyFill="1" applyAlignment="1">
      <alignment horizontal="right" vertical="center"/>
    </xf>
    <xf numFmtId="164" fontId="27" fillId="0" borderId="0" xfId="0" applyNumberFormat="1" applyFont="1" applyFill="1" applyAlignment="1">
      <alignment horizontal="right" vertical="center"/>
    </xf>
    <xf numFmtId="0" fontId="25" fillId="0" borderId="0" xfId="0" applyFont="1" applyFill="1" applyAlignment="1">
      <alignment horizontal="right" vertical="top"/>
    </xf>
    <xf numFmtId="0" fontId="24" fillId="0" borderId="16" xfId="0" applyFont="1" applyFill="1" applyBorder="1" applyAlignment="1">
      <alignment vertical="center"/>
    </xf>
    <xf numFmtId="164" fontId="24" fillId="0" borderId="16" xfId="0" applyNumberFormat="1" applyFont="1" applyFill="1" applyBorder="1" applyAlignment="1">
      <alignment horizontal="right" vertical="center" wrapText="1"/>
    </xf>
    <xf numFmtId="164" fontId="24" fillId="0" borderId="4" xfId="0" applyNumberFormat="1" applyFont="1" applyFill="1" applyBorder="1"/>
    <xf numFmtId="164" fontId="24" fillId="0" borderId="16" xfId="0" applyNumberFormat="1" applyFont="1" applyFill="1" applyBorder="1" applyAlignment="1">
      <alignment horizontal="right" vertical="center"/>
    </xf>
    <xf numFmtId="164" fontId="24" fillId="0" borderId="17" xfId="0" applyNumberFormat="1" applyFont="1" applyFill="1" applyBorder="1" applyAlignment="1">
      <alignment horizontal="right" vertical="center"/>
    </xf>
    <xf numFmtId="1" fontId="24" fillId="0" borderId="0" xfId="0" applyNumberFormat="1" applyFont="1" applyFill="1" applyAlignment="1">
      <alignment horizontal="right" vertical="center"/>
    </xf>
    <xf numFmtId="1" fontId="23" fillId="0" borderId="0" xfId="0" applyNumberFormat="1" applyFont="1" applyFill="1" applyAlignment="1">
      <alignment horizontal="right" vertical="center"/>
    </xf>
    <xf numFmtId="0" fontId="23" fillId="0" borderId="0" xfId="0" applyFont="1" applyFill="1" applyAlignment="1">
      <alignment horizontal="right" vertical="center"/>
    </xf>
    <xf numFmtId="0" fontId="24" fillId="0" borderId="15" xfId="0" applyFont="1" applyFill="1" applyBorder="1" applyAlignment="1">
      <alignment vertical="center"/>
    </xf>
    <xf numFmtId="164" fontId="24" fillId="0" borderId="15" xfId="0" applyNumberFormat="1" applyFont="1" applyFill="1" applyBorder="1" applyAlignment="1">
      <alignment horizontal="right" vertical="center" wrapText="1"/>
    </xf>
    <xf numFmtId="164" fontId="24" fillId="0" borderId="3" xfId="0" applyNumberFormat="1" applyFont="1" applyFill="1" applyBorder="1"/>
  </cellXfs>
  <cellStyles count="48">
    <cellStyle name="20% — akcent 1" xfId="18" builtinId="30" customBuiltin="1"/>
    <cellStyle name="20% — akcent 2" xfId="21" builtinId="34" customBuiltin="1"/>
    <cellStyle name="20% — akcent 3" xfId="24" builtinId="38" customBuiltin="1"/>
    <cellStyle name="20% — akcent 4" xfId="27" builtinId="42" customBuiltin="1"/>
    <cellStyle name="20% — akcent 5" xfId="30" builtinId="46" customBuiltin="1"/>
    <cellStyle name="20% — akcent 6" xfId="33" builtinId="50" customBuiltin="1"/>
    <cellStyle name="40% — akcent 1" xfId="19" builtinId="31" customBuiltin="1"/>
    <cellStyle name="40% — akcent 2" xfId="22" builtinId="35" customBuiltin="1"/>
    <cellStyle name="40% — akcent 3" xfId="25" builtinId="39" customBuiltin="1"/>
    <cellStyle name="40% — akcent 4" xfId="28" builtinId="43" customBuiltin="1"/>
    <cellStyle name="40% — akcent 5" xfId="31" builtinId="47" customBuiltin="1"/>
    <cellStyle name="40% — akcent 6" xfId="34" builtinId="51" customBuiltin="1"/>
    <cellStyle name="60% — akcent 1 2" xfId="36" xr:uid="{00000000-0005-0000-0000-00000C000000}"/>
    <cellStyle name="60% — akcent 2 2" xfId="37" xr:uid="{00000000-0005-0000-0000-00000D000000}"/>
    <cellStyle name="60% — akcent 3 2" xfId="38" xr:uid="{00000000-0005-0000-0000-00000E000000}"/>
    <cellStyle name="60% — akcent 4 2" xfId="39" xr:uid="{00000000-0005-0000-0000-00000F000000}"/>
    <cellStyle name="60% — akcent 5 2" xfId="40" xr:uid="{00000000-0005-0000-0000-000010000000}"/>
    <cellStyle name="60% — akcent 6 2" xfId="41" xr:uid="{00000000-0005-0000-0000-000011000000}"/>
    <cellStyle name="Akcent 1" xfId="17" builtinId="29" customBuiltin="1"/>
    <cellStyle name="Akcent 2" xfId="20" builtinId="33" customBuiltin="1"/>
    <cellStyle name="Akcent 3" xfId="23" builtinId="37" customBuiltin="1"/>
    <cellStyle name="Akcent 4" xfId="26" builtinId="41" customBuiltin="1"/>
    <cellStyle name="Akcent 5" xfId="29" builtinId="45" customBuiltin="1"/>
    <cellStyle name="Akcent 6" xfId="32" builtinId="49" customBuiltin="1"/>
    <cellStyle name="Dane wejściowe" xfId="8" builtinId="20" customBuiltin="1"/>
    <cellStyle name="Dane wyjściowe" xfId="9" builtinId="21" customBuiltin="1"/>
    <cellStyle name="Dobry" xfId="6" builtinId="26" customBuiltin="1"/>
    <cellStyle name="Komórka połączona" xfId="11" builtinId="24" customBuiltin="1"/>
    <cellStyle name="Komórka zaznaczona" xfId="12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 2" xfId="35" xr:uid="{00000000-0005-0000-0000-000021000000}"/>
    <cellStyle name="Normalny" xfId="0" builtinId="0"/>
    <cellStyle name="Normalny 2" xfId="42" xr:uid="{00000000-0005-0000-0000-000023000000}"/>
    <cellStyle name="Normalny 2 2" xfId="44" xr:uid="{00000000-0005-0000-0000-000024000000}"/>
    <cellStyle name="Normalny 3" xfId="43" xr:uid="{00000000-0005-0000-0000-000025000000}"/>
    <cellStyle name="Normalny 4" xfId="45" xr:uid="{00000000-0005-0000-0000-000026000000}"/>
    <cellStyle name="Normalny 4 2" xfId="47" xr:uid="{00000000-0005-0000-0000-000027000000}"/>
    <cellStyle name="Normalny 5" xfId="46" xr:uid="{00000000-0005-0000-0000-000028000000}"/>
    <cellStyle name="Obliczenia" xfId="10" builtinId="22" customBuiltin="1"/>
    <cellStyle name="Suma" xfId="16" builtinId="25" customBuiltin="1"/>
    <cellStyle name="Tekst objaśnienia" xfId="15" builtinId="53" customBuiltin="1"/>
    <cellStyle name="Tekst ostrzeżenia" xfId="13" builtinId="11" customBuiltin="1"/>
    <cellStyle name="Tytuł" xfId="1" builtinId="15" customBuiltin="1"/>
    <cellStyle name="Uwaga" xfId="14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6D39-62C4-4AA3-9DFD-DB8D24D97220}">
  <sheetPr>
    <tabColor rgb="FF00B0F0"/>
  </sheetPr>
  <dimension ref="A1:J15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8.5703125" style="4" customWidth="1"/>
    <col min="2" max="7" width="11" style="4" customWidth="1"/>
    <col min="8" max="8" width="10.7109375" style="4" customWidth="1"/>
    <col min="9" max="9" width="11" style="4" customWidth="1"/>
    <col min="10" max="16384" width="9.140625" style="4"/>
  </cols>
  <sheetData>
    <row r="1" spans="1:10" x14ac:dyDescent="0.25">
      <c r="A1" s="42" t="s">
        <v>67</v>
      </c>
      <c r="B1" s="42"/>
      <c r="C1" s="42"/>
      <c r="D1" s="42"/>
      <c r="E1" s="42"/>
      <c r="F1" s="42"/>
      <c r="G1" s="42"/>
    </row>
    <row r="2" spans="1:10" x14ac:dyDescent="0.25">
      <c r="A2" s="4" t="s">
        <v>39</v>
      </c>
      <c r="C2" s="43"/>
      <c r="G2" s="43"/>
    </row>
    <row r="3" spans="1:10" x14ac:dyDescent="0.25">
      <c r="B3" s="44" t="s">
        <v>68</v>
      </c>
      <c r="C3" s="44" t="s">
        <v>69</v>
      </c>
      <c r="D3" s="44" t="s">
        <v>70</v>
      </c>
      <c r="E3" s="44" t="s">
        <v>71</v>
      </c>
      <c r="F3" s="44" t="s">
        <v>72</v>
      </c>
      <c r="G3" s="44" t="s">
        <v>73</v>
      </c>
      <c r="H3" s="44" t="s">
        <v>74</v>
      </c>
    </row>
    <row r="4" spans="1:10" x14ac:dyDescent="0.25">
      <c r="A4" s="4">
        <v>2022</v>
      </c>
      <c r="B4" s="45">
        <v>10.186207404136306</v>
      </c>
      <c r="C4" s="45">
        <v>19.645617134025169</v>
      </c>
      <c r="D4" s="45">
        <v>15.235151247516008</v>
      </c>
      <c r="E4" s="45">
        <v>24.449841760506366</v>
      </c>
      <c r="F4" s="45">
        <v>21.224332082137337</v>
      </c>
      <c r="G4" s="45">
        <v>7.6267755943180982</v>
      </c>
      <c r="H4" s="45">
        <v>1.6320747773607123</v>
      </c>
      <c r="I4" s="4" t="s">
        <v>75</v>
      </c>
    </row>
    <row r="5" spans="1:10" x14ac:dyDescent="0.25">
      <c r="A5" s="4">
        <v>2022</v>
      </c>
      <c r="B5" s="45">
        <v>11.863307299099613</v>
      </c>
      <c r="C5" s="45">
        <v>23.917330496380291</v>
      </c>
      <c r="D5" s="45">
        <v>16.13949505695529</v>
      </c>
      <c r="E5" s="45">
        <v>20.688134097926774</v>
      </c>
      <c r="F5" s="45">
        <v>18.764109084304213</v>
      </c>
      <c r="G5" s="45">
        <v>7.3354264511274287</v>
      </c>
      <c r="H5" s="45">
        <v>1.2921975142063884</v>
      </c>
      <c r="I5" s="4" t="s">
        <v>76</v>
      </c>
    </row>
    <row r="6" spans="1:10" x14ac:dyDescent="0.25">
      <c r="A6" s="4">
        <v>2023</v>
      </c>
      <c r="B6" s="45">
        <v>11.3</v>
      </c>
      <c r="C6" s="45">
        <v>19.5</v>
      </c>
      <c r="D6" s="45">
        <v>14.3</v>
      </c>
      <c r="E6" s="45">
        <v>23</v>
      </c>
      <c r="F6" s="45">
        <v>20.8</v>
      </c>
      <c r="G6" s="45">
        <v>8.8000000000000007</v>
      </c>
      <c r="H6" s="45">
        <v>2.2999999999999998</v>
      </c>
      <c r="I6" s="4" t="s">
        <v>75</v>
      </c>
    </row>
    <row r="7" spans="1:10" x14ac:dyDescent="0.25">
      <c r="A7" s="4">
        <v>2023</v>
      </c>
      <c r="B7" s="45">
        <v>13.3</v>
      </c>
      <c r="C7" s="45">
        <v>23.7</v>
      </c>
      <c r="D7" s="45">
        <v>15.9</v>
      </c>
      <c r="E7" s="45">
        <v>19.3</v>
      </c>
      <c r="F7" s="45">
        <v>18.100000000000001</v>
      </c>
      <c r="G7" s="45">
        <v>7.9</v>
      </c>
      <c r="H7" s="45">
        <v>1.9</v>
      </c>
      <c r="I7" s="4" t="s">
        <v>76</v>
      </c>
      <c r="J7" s="45"/>
    </row>
    <row r="8" spans="1:10" x14ac:dyDescent="0.25">
      <c r="B8" s="45"/>
      <c r="J8" s="45"/>
    </row>
    <row r="9" spans="1:10" x14ac:dyDescent="0.25">
      <c r="C9" s="45"/>
      <c r="E9" s="45"/>
    </row>
    <row r="11" spans="1:10" x14ac:dyDescent="0.25">
      <c r="J11" s="45"/>
    </row>
    <row r="12" spans="1:10" x14ac:dyDescent="0.25">
      <c r="J12" s="45"/>
    </row>
    <row r="13" spans="1:10" x14ac:dyDescent="0.25">
      <c r="J13" s="45"/>
    </row>
    <row r="14" spans="1:10" x14ac:dyDescent="0.25">
      <c r="J14" s="45"/>
    </row>
    <row r="15" spans="1:10" x14ac:dyDescent="0.25">
      <c r="J15" s="4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O23"/>
  <sheetViews>
    <sheetView topLeftCell="I1" zoomScale="120" zoomScaleNormal="120" workbookViewId="0">
      <selection activeCell="G1" sqref="G1:O1048576"/>
    </sheetView>
  </sheetViews>
  <sheetFormatPr defaultColWidth="9.140625" defaultRowHeight="15" x14ac:dyDescent="0.25"/>
  <cols>
    <col min="1" max="1" width="19.5703125" style="4" customWidth="1"/>
    <col min="2" max="3" width="9.140625" style="4"/>
    <col min="4" max="4" width="12.42578125" style="4" customWidth="1"/>
    <col min="5" max="5" width="10.42578125" style="4" bestFit="1" customWidth="1"/>
    <col min="6" max="6" width="9.140625" style="4"/>
    <col min="7" max="7" width="11.28515625" style="4" customWidth="1"/>
    <col min="8" max="8" width="11.7109375" style="4" customWidth="1"/>
    <col min="9" max="13" width="9.140625" style="4" customWidth="1"/>
    <col min="14" max="14" width="9.42578125" style="4" customWidth="1"/>
    <col min="15" max="16384" width="9.140625" style="4"/>
  </cols>
  <sheetData>
    <row r="1" spans="1:15" x14ac:dyDescent="0.25">
      <c r="A1" s="22" t="s">
        <v>58</v>
      </c>
      <c r="B1" s="5"/>
      <c r="C1" s="5"/>
      <c r="D1" s="5"/>
      <c r="E1" s="5"/>
      <c r="F1" s="5"/>
      <c r="G1" s="5"/>
    </row>
    <row r="2" spans="1:15" x14ac:dyDescent="0.25">
      <c r="A2" s="4" t="s">
        <v>39</v>
      </c>
      <c r="B2" s="5"/>
      <c r="C2" s="5"/>
      <c r="D2" s="5"/>
      <c r="E2" s="5"/>
      <c r="F2" s="5"/>
      <c r="G2" s="5"/>
    </row>
    <row r="3" spans="1:15" ht="15.75" thickBot="1" x14ac:dyDescent="0.3">
      <c r="A3" s="50" t="s">
        <v>43</v>
      </c>
      <c r="B3" s="52">
        <v>2022</v>
      </c>
      <c r="C3" s="53"/>
      <c r="D3" s="54"/>
      <c r="E3" s="56">
        <v>2023</v>
      </c>
      <c r="F3" s="57"/>
      <c r="G3" s="57"/>
      <c r="H3" s="48"/>
      <c r="I3" s="48"/>
      <c r="J3" s="48"/>
    </row>
    <row r="4" spans="1:15" ht="39" thickBot="1" x14ac:dyDescent="0.3">
      <c r="A4" s="51"/>
      <c r="B4" s="23" t="s">
        <v>40</v>
      </c>
      <c r="C4" s="23" t="s">
        <v>41</v>
      </c>
      <c r="D4" s="23" t="s">
        <v>44</v>
      </c>
      <c r="E4" s="23" t="s">
        <v>40</v>
      </c>
      <c r="F4" s="23" t="s">
        <v>41</v>
      </c>
      <c r="G4" s="58" t="s">
        <v>44</v>
      </c>
      <c r="H4" s="10" t="s">
        <v>51</v>
      </c>
      <c r="I4" s="5">
        <v>2022</v>
      </c>
    </row>
    <row r="5" spans="1:15" ht="16.5" thickTop="1" thickBot="1" x14ac:dyDescent="0.3">
      <c r="A5" s="24" t="s">
        <v>45</v>
      </c>
      <c r="B5" s="59">
        <v>131.4</v>
      </c>
      <c r="C5" s="21">
        <f>B5/B$5*100</f>
        <v>100</v>
      </c>
      <c r="D5" s="18">
        <v>34.799783415527806</v>
      </c>
      <c r="E5" s="60">
        <v>141.452</v>
      </c>
      <c r="F5" s="21">
        <v>100</v>
      </c>
      <c r="G5" s="41">
        <v>37.6</v>
      </c>
      <c r="H5" s="61">
        <v>37636508</v>
      </c>
      <c r="I5" s="6">
        <v>37766327</v>
      </c>
      <c r="J5" s="45"/>
      <c r="K5" s="37">
        <v>131426</v>
      </c>
      <c r="L5" s="45">
        <f>K5/K$5*100</f>
        <v>100</v>
      </c>
      <c r="M5" s="37">
        <v>141452</v>
      </c>
      <c r="N5" s="45">
        <f>M5/M$5*100</f>
        <v>100</v>
      </c>
      <c r="O5" s="45"/>
    </row>
    <row r="6" spans="1:15" ht="15.75" thickBot="1" x14ac:dyDescent="0.3">
      <c r="A6" s="11" t="s">
        <v>24</v>
      </c>
      <c r="B6" s="62">
        <v>10.7</v>
      </c>
      <c r="C6" s="21">
        <f t="shared" ref="C6:C21" si="0">B6/B$5*100</f>
        <v>8.1430745814307457</v>
      </c>
      <c r="D6" s="19">
        <v>37.063288404252994</v>
      </c>
      <c r="E6" s="63">
        <v>11.292999999999999</v>
      </c>
      <c r="F6" s="45">
        <f t="shared" ref="F6:F21" si="1">E6/E$5*100</f>
        <v>7.9836269547266916</v>
      </c>
      <c r="G6" s="25">
        <v>39.200000000000003</v>
      </c>
      <c r="H6" s="64">
        <v>2879271</v>
      </c>
      <c r="I6" s="7">
        <v>2888033</v>
      </c>
      <c r="J6" s="45"/>
      <c r="K6" s="38">
        <v>10704</v>
      </c>
      <c r="L6" s="45">
        <f t="shared" ref="L6:L21" si="2">K6/K$5*100</f>
        <v>8.144507175140383</v>
      </c>
      <c r="M6" s="38">
        <v>11293</v>
      </c>
      <c r="N6" s="45">
        <f t="shared" ref="N6:N21" si="3">M6/M$5*100</f>
        <v>7.9836269547266916</v>
      </c>
      <c r="O6" s="45"/>
    </row>
    <row r="7" spans="1:15" ht="15.75" thickBot="1" x14ac:dyDescent="0.3">
      <c r="A7" s="11" t="s">
        <v>42</v>
      </c>
      <c r="B7" s="62">
        <v>6</v>
      </c>
      <c r="C7" s="21">
        <f t="shared" si="0"/>
        <v>4.5662100456620998</v>
      </c>
      <c r="D7" s="19">
        <v>29.991887889436118</v>
      </c>
      <c r="E7" s="63">
        <v>6.2889999999999997</v>
      </c>
      <c r="F7" s="45">
        <f t="shared" si="1"/>
        <v>4.4460311625144922</v>
      </c>
      <c r="G7" s="25">
        <v>31.5</v>
      </c>
      <c r="H7" s="65">
        <v>1996003</v>
      </c>
      <c r="I7" s="8">
        <v>2006876</v>
      </c>
      <c r="J7" s="45"/>
      <c r="K7" s="38">
        <v>6019</v>
      </c>
      <c r="L7" s="45">
        <f t="shared" si="2"/>
        <v>4.5797635171122915</v>
      </c>
      <c r="M7" s="38">
        <v>6289</v>
      </c>
      <c r="N7" s="45">
        <f t="shared" si="3"/>
        <v>4.4460311625144922</v>
      </c>
      <c r="O7" s="45"/>
    </row>
    <row r="8" spans="1:15" ht="15.75" thickBot="1" x14ac:dyDescent="0.3">
      <c r="A8" s="11" t="s">
        <v>25</v>
      </c>
      <c r="B8" s="62">
        <v>7.6</v>
      </c>
      <c r="C8" s="21">
        <f t="shared" si="0"/>
        <v>5.7838660578386598</v>
      </c>
      <c r="D8" s="19">
        <v>37.646254612555239</v>
      </c>
      <c r="E8" s="63">
        <v>7.8250000000000002</v>
      </c>
      <c r="F8" s="45">
        <f t="shared" si="1"/>
        <v>5.5319118853038489</v>
      </c>
      <c r="G8" s="25">
        <v>38.9</v>
      </c>
      <c r="H8" s="65">
        <v>2011047</v>
      </c>
      <c r="I8" s="8">
        <v>2024637</v>
      </c>
      <c r="J8" s="45"/>
      <c r="K8" s="38">
        <v>7622</v>
      </c>
      <c r="L8" s="45">
        <f t="shared" si="2"/>
        <v>5.7994612938079229</v>
      </c>
      <c r="M8" s="38">
        <v>7825</v>
      </c>
      <c r="N8" s="45">
        <f t="shared" si="3"/>
        <v>5.5319118853038489</v>
      </c>
      <c r="O8" s="45"/>
    </row>
    <row r="9" spans="1:15" ht="15.75" thickBot="1" x14ac:dyDescent="0.3">
      <c r="A9" s="11" t="s">
        <v>26</v>
      </c>
      <c r="B9" s="62">
        <v>2.2999999999999998</v>
      </c>
      <c r="C9" s="21">
        <f t="shared" si="0"/>
        <v>1.750380517503805</v>
      </c>
      <c r="D9" s="19">
        <v>23.837318464941998</v>
      </c>
      <c r="E9" s="63">
        <v>2.4380000000000002</v>
      </c>
      <c r="F9" s="45">
        <f t="shared" si="1"/>
        <v>1.7235528659898764</v>
      </c>
      <c r="G9" s="25">
        <v>25</v>
      </c>
      <c r="H9" s="65">
        <v>975023</v>
      </c>
      <c r="I9" s="8">
        <v>979976</v>
      </c>
      <c r="J9" s="45"/>
      <c r="K9" s="38">
        <v>2336</v>
      </c>
      <c r="L9" s="45">
        <f t="shared" si="2"/>
        <v>1.7774260800754795</v>
      </c>
      <c r="M9" s="38">
        <v>2438</v>
      </c>
      <c r="N9" s="45">
        <f t="shared" si="3"/>
        <v>1.7235528659898764</v>
      </c>
      <c r="O9" s="45"/>
    </row>
    <row r="10" spans="1:15" ht="15.75" thickBot="1" x14ac:dyDescent="0.3">
      <c r="A10" s="11" t="s">
        <v>27</v>
      </c>
      <c r="B10" s="62">
        <v>9.8000000000000007</v>
      </c>
      <c r="C10" s="21">
        <f t="shared" si="0"/>
        <v>7.4581430745814306</v>
      </c>
      <c r="D10" s="19">
        <v>41.05558038464013</v>
      </c>
      <c r="E10" s="63">
        <v>10.194000000000001</v>
      </c>
      <c r="F10" s="45">
        <f t="shared" si="1"/>
        <v>7.2066849531996731</v>
      </c>
      <c r="G10" s="25">
        <v>43.1</v>
      </c>
      <c r="H10" s="65">
        <v>2362519</v>
      </c>
      <c r="I10" s="8">
        <v>2378483</v>
      </c>
      <c r="J10" s="45"/>
      <c r="K10" s="38">
        <v>9765</v>
      </c>
      <c r="L10" s="45">
        <f t="shared" si="2"/>
        <v>7.4300366746305908</v>
      </c>
      <c r="M10" s="38">
        <v>10194</v>
      </c>
      <c r="N10" s="45">
        <f t="shared" si="3"/>
        <v>7.2066849531996713</v>
      </c>
      <c r="O10" s="45"/>
    </row>
    <row r="11" spans="1:15" ht="15.75" thickBot="1" x14ac:dyDescent="0.3">
      <c r="A11" s="11" t="s">
        <v>28</v>
      </c>
      <c r="B11" s="62">
        <v>12</v>
      </c>
      <c r="C11" s="21">
        <f t="shared" si="0"/>
        <v>9.1324200913241995</v>
      </c>
      <c r="D11" s="19">
        <v>35.045059600223269</v>
      </c>
      <c r="E11" s="63">
        <v>12.728999999999999</v>
      </c>
      <c r="F11" s="45">
        <f t="shared" si="1"/>
        <v>8.9988123179594481</v>
      </c>
      <c r="G11" s="25">
        <v>37.1</v>
      </c>
      <c r="H11" s="65">
        <v>3429632</v>
      </c>
      <c r="I11" s="8">
        <v>3429014</v>
      </c>
      <c r="J11" s="45"/>
      <c r="K11" s="38">
        <v>12017</v>
      </c>
      <c r="L11" s="45">
        <f t="shared" si="2"/>
        <v>9.143548460730754</v>
      </c>
      <c r="M11" s="38">
        <v>12729</v>
      </c>
      <c r="N11" s="45">
        <f t="shared" si="3"/>
        <v>8.9988123179594499</v>
      </c>
      <c r="O11" s="45"/>
    </row>
    <row r="12" spans="1:15" ht="15.75" thickBot="1" x14ac:dyDescent="0.3">
      <c r="A12" s="11" t="s">
        <v>29</v>
      </c>
      <c r="B12" s="62">
        <v>23.7</v>
      </c>
      <c r="C12" s="21">
        <f t="shared" si="0"/>
        <v>18.036529680365295</v>
      </c>
      <c r="D12" s="19">
        <v>43.06781170585046</v>
      </c>
      <c r="E12" s="63">
        <v>28.771000000000001</v>
      </c>
      <c r="F12" s="45">
        <f t="shared" si="1"/>
        <v>20.339761898029014</v>
      </c>
      <c r="G12" s="25">
        <v>52.2</v>
      </c>
      <c r="H12" s="65">
        <v>5510527</v>
      </c>
      <c r="I12" s="8">
        <v>5510612</v>
      </c>
      <c r="J12" s="45"/>
      <c r="K12" s="38">
        <v>23733</v>
      </c>
      <c r="L12" s="45">
        <f t="shared" si="2"/>
        <v>18.05807070138329</v>
      </c>
      <c r="M12" s="38">
        <v>28771</v>
      </c>
      <c r="N12" s="45">
        <f t="shared" si="3"/>
        <v>20.339761898029014</v>
      </c>
      <c r="O12" s="45"/>
    </row>
    <row r="13" spans="1:15" ht="15.75" thickBot="1" x14ac:dyDescent="0.3">
      <c r="A13" s="11" t="s">
        <v>30</v>
      </c>
      <c r="B13" s="62">
        <v>2.2999999999999998</v>
      </c>
      <c r="C13" s="21">
        <f t="shared" si="0"/>
        <v>1.750380517503805</v>
      </c>
      <c r="D13" s="19">
        <v>24.807919010314702</v>
      </c>
      <c r="E13" s="63">
        <v>2.4039999999999999</v>
      </c>
      <c r="F13" s="45">
        <f t="shared" si="1"/>
        <v>1.6995164437406327</v>
      </c>
      <c r="G13" s="25">
        <v>25.7</v>
      </c>
      <c r="H13" s="65">
        <v>936725</v>
      </c>
      <c r="I13" s="8">
        <v>942441</v>
      </c>
      <c r="J13" s="45"/>
      <c r="K13" s="38">
        <v>2338</v>
      </c>
      <c r="L13" s="45">
        <f t="shared" si="2"/>
        <v>1.7789478489796542</v>
      </c>
      <c r="M13" s="38">
        <v>2404</v>
      </c>
      <c r="N13" s="45">
        <f t="shared" si="3"/>
        <v>1.6995164437406329</v>
      </c>
      <c r="O13" s="45"/>
    </row>
    <row r="14" spans="1:15" ht="15.75" thickBot="1" x14ac:dyDescent="0.3">
      <c r="A14" s="11" t="s">
        <v>31</v>
      </c>
      <c r="B14" s="62">
        <v>5.7</v>
      </c>
      <c r="C14" s="21">
        <f t="shared" si="0"/>
        <v>4.3378995433789953</v>
      </c>
      <c r="D14" s="19">
        <v>27.51674043262992</v>
      </c>
      <c r="E14" s="63">
        <v>5.9249999999999998</v>
      </c>
      <c r="F14" s="45">
        <f t="shared" si="1"/>
        <v>4.1887000537284731</v>
      </c>
      <c r="G14" s="25">
        <v>28.6</v>
      </c>
      <c r="H14" s="65">
        <v>2071676</v>
      </c>
      <c r="I14" s="8">
        <v>2079098</v>
      </c>
      <c r="J14" s="45"/>
      <c r="K14" s="38">
        <v>5721</v>
      </c>
      <c r="L14" s="45">
        <f t="shared" si="2"/>
        <v>4.3530199503903333</v>
      </c>
      <c r="M14" s="38">
        <v>5925</v>
      </c>
      <c r="N14" s="45">
        <f t="shared" si="3"/>
        <v>4.1887000537284731</v>
      </c>
      <c r="O14" s="45"/>
    </row>
    <row r="15" spans="1:15" ht="15.75" thickBot="1" x14ac:dyDescent="0.3">
      <c r="A15" s="11" t="s">
        <v>32</v>
      </c>
      <c r="B15" s="62">
        <v>4.5</v>
      </c>
      <c r="C15" s="21">
        <f t="shared" si="0"/>
        <v>3.4246575342465753</v>
      </c>
      <c r="D15" s="19">
        <v>39.139199986006091</v>
      </c>
      <c r="E15" s="63">
        <v>4.7089999999999996</v>
      </c>
      <c r="F15" s="45">
        <f t="shared" si="1"/>
        <v>3.3290444815202322</v>
      </c>
      <c r="G15" s="25">
        <v>41.4</v>
      </c>
      <c r="H15" s="65">
        <v>1138216</v>
      </c>
      <c r="I15" s="8">
        <v>1143355</v>
      </c>
      <c r="J15" s="45"/>
      <c r="K15" s="38">
        <v>4475</v>
      </c>
      <c r="L15" s="45">
        <f t="shared" si="2"/>
        <v>3.4049579230897997</v>
      </c>
      <c r="M15" s="38">
        <v>4709</v>
      </c>
      <c r="N15" s="45">
        <f t="shared" si="3"/>
        <v>3.3290444815202331</v>
      </c>
      <c r="O15" s="45"/>
    </row>
    <row r="16" spans="1:15" ht="15.75" thickBot="1" x14ac:dyDescent="0.3">
      <c r="A16" s="11" t="s">
        <v>33</v>
      </c>
      <c r="B16" s="62">
        <v>8.1999999999999993</v>
      </c>
      <c r="C16" s="21">
        <f t="shared" si="0"/>
        <v>6.2404870624048696</v>
      </c>
      <c r="D16" s="19">
        <v>34.668938352809874</v>
      </c>
      <c r="E16" s="63">
        <v>8.6780000000000008</v>
      </c>
      <c r="F16" s="45">
        <f t="shared" si="1"/>
        <v>6.134943302321636</v>
      </c>
      <c r="G16" s="25">
        <v>36.799999999999997</v>
      </c>
      <c r="H16" s="65">
        <v>2359573</v>
      </c>
      <c r="I16" s="8">
        <v>2358307</v>
      </c>
      <c r="J16" s="45"/>
      <c r="K16" s="38">
        <v>8176</v>
      </c>
      <c r="L16" s="45">
        <f t="shared" si="2"/>
        <v>6.2209912802641796</v>
      </c>
      <c r="M16" s="38">
        <v>8678</v>
      </c>
      <c r="N16" s="45">
        <f t="shared" si="3"/>
        <v>6.1349433023216351</v>
      </c>
      <c r="O16" s="45"/>
    </row>
    <row r="17" spans="1:15" ht="15.75" thickBot="1" x14ac:dyDescent="0.3">
      <c r="A17" s="11" t="s">
        <v>34</v>
      </c>
      <c r="B17" s="62">
        <v>15.9</v>
      </c>
      <c r="C17" s="21">
        <f t="shared" si="0"/>
        <v>12.100456621004566</v>
      </c>
      <c r="D17" s="19">
        <v>36.579457252878157</v>
      </c>
      <c r="E17" s="63">
        <v>16.564</v>
      </c>
      <c r="F17" s="45">
        <f t="shared" si="1"/>
        <v>11.70997935695501</v>
      </c>
      <c r="G17" s="25">
        <v>38.299999999999997</v>
      </c>
      <c r="H17" s="65">
        <v>4320130</v>
      </c>
      <c r="I17" s="8">
        <v>4346702</v>
      </c>
      <c r="J17" s="45"/>
      <c r="K17" s="38">
        <v>15900</v>
      </c>
      <c r="L17" s="45">
        <f t="shared" si="2"/>
        <v>12.098062788184986</v>
      </c>
      <c r="M17" s="38">
        <v>16564</v>
      </c>
      <c r="N17" s="45">
        <f t="shared" si="3"/>
        <v>11.70997935695501</v>
      </c>
      <c r="O17" s="45"/>
    </row>
    <row r="18" spans="1:15" ht="15.75" thickBot="1" x14ac:dyDescent="0.3">
      <c r="A18" s="11" t="s">
        <v>35</v>
      </c>
      <c r="B18" s="62">
        <v>3.6</v>
      </c>
      <c r="C18" s="21">
        <f t="shared" si="0"/>
        <v>2.7397260273972601</v>
      </c>
      <c r="D18" s="19">
        <v>30.861577844850121</v>
      </c>
      <c r="E18" s="63">
        <v>3.8</v>
      </c>
      <c r="F18" s="45">
        <f t="shared" si="1"/>
        <v>2.6864236631507508</v>
      </c>
      <c r="G18" s="25">
        <v>32.200000000000003</v>
      </c>
      <c r="H18" s="65">
        <v>1168499</v>
      </c>
      <c r="I18" s="8">
        <v>1178164</v>
      </c>
      <c r="J18" s="45"/>
      <c r="K18" s="38">
        <v>3636</v>
      </c>
      <c r="L18" s="45">
        <f t="shared" si="2"/>
        <v>2.7665758677887178</v>
      </c>
      <c r="M18" s="38">
        <v>3768</v>
      </c>
      <c r="N18" s="45">
        <f t="shared" si="3"/>
        <v>2.6638011480926393</v>
      </c>
      <c r="O18" s="45"/>
    </row>
    <row r="19" spans="1:15" ht="15.75" thickBot="1" x14ac:dyDescent="0.3">
      <c r="A19" s="11" t="s">
        <v>36</v>
      </c>
      <c r="B19" s="62">
        <v>3.5</v>
      </c>
      <c r="C19" s="21">
        <f t="shared" si="0"/>
        <v>2.663622526636225</v>
      </c>
      <c r="D19" s="19">
        <v>25.687375130815337</v>
      </c>
      <c r="E19" s="63">
        <v>3.5880000000000001</v>
      </c>
      <c r="F19" s="45">
        <f t="shared" si="1"/>
        <v>2.5365495008907617</v>
      </c>
      <c r="G19" s="25">
        <v>26.4</v>
      </c>
      <c r="H19" s="65">
        <v>1357910</v>
      </c>
      <c r="I19" s="8">
        <v>1366430</v>
      </c>
      <c r="J19" s="45"/>
      <c r="K19" s="38">
        <v>3510</v>
      </c>
      <c r="L19" s="45">
        <f t="shared" si="2"/>
        <v>2.6707044268257421</v>
      </c>
      <c r="M19" s="38">
        <v>3588</v>
      </c>
      <c r="N19" s="45">
        <f t="shared" si="3"/>
        <v>2.5365495008907617</v>
      </c>
      <c r="O19" s="45"/>
    </row>
    <row r="20" spans="1:15" ht="15.75" thickBot="1" x14ac:dyDescent="0.3">
      <c r="A20" s="11" t="s">
        <v>37</v>
      </c>
      <c r="B20" s="62">
        <v>10.199999999999999</v>
      </c>
      <c r="C20" s="21">
        <f t="shared" si="0"/>
        <v>7.7625570776255701</v>
      </c>
      <c r="D20" s="19">
        <v>29.227923128644367</v>
      </c>
      <c r="E20" s="63">
        <v>10.722</v>
      </c>
      <c r="F20" s="45">
        <f t="shared" si="1"/>
        <v>7.5799564516585134</v>
      </c>
      <c r="G20" s="25">
        <v>30.7</v>
      </c>
      <c r="H20" s="65">
        <v>3487973</v>
      </c>
      <c r="I20" s="8">
        <v>3493577</v>
      </c>
      <c r="J20" s="45"/>
      <c r="K20" s="38">
        <v>10211</v>
      </c>
      <c r="L20" s="45">
        <f t="shared" si="2"/>
        <v>7.7693911402614404</v>
      </c>
      <c r="M20" s="38">
        <v>10722</v>
      </c>
      <c r="N20" s="45">
        <f t="shared" si="3"/>
        <v>7.5799564516585134</v>
      </c>
      <c r="O20" s="45"/>
    </row>
    <row r="21" spans="1:15" ht="15.75" thickBot="1" x14ac:dyDescent="0.3">
      <c r="A21" s="13" t="s">
        <v>38</v>
      </c>
      <c r="B21" s="62">
        <v>5.3</v>
      </c>
      <c r="C21" s="21">
        <f t="shared" si="0"/>
        <v>4.0334855403348548</v>
      </c>
      <c r="D21" s="20">
        <v>32.07929675452359</v>
      </c>
      <c r="E21" s="66">
        <v>5.5549999999999997</v>
      </c>
      <c r="F21" s="45">
        <f t="shared" si="1"/>
        <v>3.9271272233690575</v>
      </c>
      <c r="G21" s="26">
        <v>34</v>
      </c>
      <c r="H21" s="65">
        <v>1631784</v>
      </c>
      <c r="I21" s="8">
        <v>1640622</v>
      </c>
      <c r="J21" s="45"/>
      <c r="K21" s="39">
        <v>5263</v>
      </c>
      <c r="L21" s="45">
        <f t="shared" si="2"/>
        <v>4.0045348713344389</v>
      </c>
      <c r="M21" s="39">
        <v>5555</v>
      </c>
      <c r="N21" s="45">
        <f t="shared" si="3"/>
        <v>3.9271272233690584</v>
      </c>
      <c r="O21" s="45"/>
    </row>
    <row r="23" spans="1:15" x14ac:dyDescent="0.25">
      <c r="C23" s="45"/>
    </row>
  </sheetData>
  <mergeCells count="4">
    <mergeCell ref="A3:A4"/>
    <mergeCell ref="B3:D3"/>
    <mergeCell ref="E3:G3"/>
    <mergeCell ref="H3:J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22"/>
  <sheetViews>
    <sheetView zoomScale="95" zoomScaleNormal="95" workbookViewId="0">
      <selection activeCell="D1" sqref="D1:F1048576"/>
    </sheetView>
  </sheetViews>
  <sheetFormatPr defaultColWidth="9.140625" defaultRowHeight="15" x14ac:dyDescent="0.25"/>
  <cols>
    <col min="1" max="1" width="17.5703125" style="4" customWidth="1"/>
    <col min="2" max="3" width="9.140625" style="4"/>
    <col min="4" max="4" width="8.85546875" style="4"/>
    <col min="5" max="5" width="9.85546875" style="4" customWidth="1"/>
    <col min="6" max="16384" width="9.140625" style="4"/>
  </cols>
  <sheetData>
    <row r="1" spans="1:5" x14ac:dyDescent="0.25">
      <c r="A1" s="4" t="s">
        <v>52</v>
      </c>
    </row>
    <row r="2" spans="1:5" x14ac:dyDescent="0.25">
      <c r="A2" s="4" t="s">
        <v>39</v>
      </c>
    </row>
    <row r="4" spans="1:5" ht="15.75" thickBot="1" x14ac:dyDescent="0.3">
      <c r="A4" s="50" t="s">
        <v>43</v>
      </c>
      <c r="B4" s="56">
        <v>2023</v>
      </c>
      <c r="C4" s="57"/>
      <c r="D4" s="10"/>
    </row>
    <row r="5" spans="1:5" ht="39" thickBot="1" x14ac:dyDescent="0.3">
      <c r="A5" s="51"/>
      <c r="B5" s="23" t="s">
        <v>40</v>
      </c>
      <c r="C5" s="58" t="s">
        <v>44</v>
      </c>
      <c r="D5" s="10"/>
      <c r="E5" s="4" t="s">
        <v>51</v>
      </c>
    </row>
    <row r="6" spans="1:5" ht="16.5" thickTop="1" thickBot="1" x14ac:dyDescent="0.3">
      <c r="A6" s="24" t="s">
        <v>45</v>
      </c>
      <c r="B6" s="60">
        <v>141.452</v>
      </c>
      <c r="C6" s="41">
        <v>37.6</v>
      </c>
      <c r="D6" s="67"/>
      <c r="E6" s="68">
        <v>37636508</v>
      </c>
    </row>
    <row r="7" spans="1:5" ht="15.75" thickBot="1" x14ac:dyDescent="0.3">
      <c r="A7" s="11" t="s">
        <v>24</v>
      </c>
      <c r="B7" s="63">
        <v>11.292999999999999</v>
      </c>
      <c r="C7" s="25">
        <v>39.200000000000003</v>
      </c>
      <c r="D7" s="69"/>
      <c r="E7" s="4">
        <v>2879271</v>
      </c>
    </row>
    <row r="8" spans="1:5" ht="15.75" thickBot="1" x14ac:dyDescent="0.3">
      <c r="A8" s="11" t="s">
        <v>42</v>
      </c>
      <c r="B8" s="63">
        <v>6.2889999999999997</v>
      </c>
      <c r="C8" s="25">
        <v>31.5</v>
      </c>
      <c r="D8" s="69"/>
      <c r="E8" s="4">
        <v>1996003</v>
      </c>
    </row>
    <row r="9" spans="1:5" ht="15.75" thickBot="1" x14ac:dyDescent="0.3">
      <c r="A9" s="11" t="s">
        <v>25</v>
      </c>
      <c r="B9" s="63">
        <v>7.8250000000000002</v>
      </c>
      <c r="C9" s="25">
        <v>38.9</v>
      </c>
      <c r="D9" s="69"/>
      <c r="E9" s="4">
        <v>2011047</v>
      </c>
    </row>
    <row r="10" spans="1:5" ht="15.75" thickBot="1" x14ac:dyDescent="0.3">
      <c r="A10" s="11" t="s">
        <v>26</v>
      </c>
      <c r="B10" s="63">
        <v>2.4380000000000002</v>
      </c>
      <c r="C10" s="25">
        <v>25</v>
      </c>
      <c r="D10" s="69"/>
      <c r="E10" s="4">
        <v>975023</v>
      </c>
    </row>
    <row r="11" spans="1:5" ht="15.75" thickBot="1" x14ac:dyDescent="0.3">
      <c r="A11" s="11" t="s">
        <v>27</v>
      </c>
      <c r="B11" s="63">
        <v>10.194000000000001</v>
      </c>
      <c r="C11" s="25">
        <v>43.1</v>
      </c>
      <c r="D11" s="69"/>
      <c r="E11" s="4">
        <v>2362519</v>
      </c>
    </row>
    <row r="12" spans="1:5" ht="15.75" thickBot="1" x14ac:dyDescent="0.3">
      <c r="A12" s="11" t="s">
        <v>28</v>
      </c>
      <c r="B12" s="63">
        <v>12.728999999999999</v>
      </c>
      <c r="C12" s="25">
        <v>37.1</v>
      </c>
      <c r="D12" s="69"/>
      <c r="E12" s="4">
        <v>3429632</v>
      </c>
    </row>
    <row r="13" spans="1:5" ht="15.75" thickBot="1" x14ac:dyDescent="0.3">
      <c r="A13" s="11" t="s">
        <v>29</v>
      </c>
      <c r="B13" s="63">
        <v>28.771000000000001</v>
      </c>
      <c r="C13" s="25">
        <v>52.2</v>
      </c>
      <c r="D13" s="69"/>
      <c r="E13" s="4">
        <v>5510527</v>
      </c>
    </row>
    <row r="14" spans="1:5" ht="15.75" thickBot="1" x14ac:dyDescent="0.3">
      <c r="A14" s="11" t="s">
        <v>30</v>
      </c>
      <c r="B14" s="63">
        <v>2.4039999999999999</v>
      </c>
      <c r="C14" s="25">
        <v>25.7</v>
      </c>
      <c r="D14" s="69"/>
      <c r="E14" s="4">
        <v>936725</v>
      </c>
    </row>
    <row r="15" spans="1:5" ht="15.75" thickBot="1" x14ac:dyDescent="0.3">
      <c r="A15" s="11" t="s">
        <v>31</v>
      </c>
      <c r="B15" s="63">
        <v>5.9249999999999998</v>
      </c>
      <c r="C15" s="25">
        <v>28.6</v>
      </c>
      <c r="D15" s="69"/>
      <c r="E15" s="4">
        <v>2071676</v>
      </c>
    </row>
    <row r="16" spans="1:5" ht="15.75" thickBot="1" x14ac:dyDescent="0.3">
      <c r="A16" s="11" t="s">
        <v>32</v>
      </c>
      <c r="B16" s="63">
        <v>4.7089999999999996</v>
      </c>
      <c r="C16" s="25">
        <v>41.4</v>
      </c>
      <c r="D16" s="69"/>
      <c r="E16" s="4">
        <v>1138216</v>
      </c>
    </row>
    <row r="17" spans="1:5" ht="15.75" thickBot="1" x14ac:dyDescent="0.3">
      <c r="A17" s="11" t="s">
        <v>33</v>
      </c>
      <c r="B17" s="63">
        <v>8.6780000000000008</v>
      </c>
      <c r="C17" s="25">
        <v>36.799999999999997</v>
      </c>
      <c r="D17" s="69"/>
      <c r="E17" s="4">
        <v>2359573</v>
      </c>
    </row>
    <row r="18" spans="1:5" ht="15.75" thickBot="1" x14ac:dyDescent="0.3">
      <c r="A18" s="11" t="s">
        <v>34</v>
      </c>
      <c r="B18" s="63">
        <v>16.564</v>
      </c>
      <c r="C18" s="25">
        <v>38.299999999999997</v>
      </c>
      <c r="D18" s="69"/>
      <c r="E18" s="4">
        <v>4320130</v>
      </c>
    </row>
    <row r="19" spans="1:5" ht="15.75" thickBot="1" x14ac:dyDescent="0.3">
      <c r="A19" s="11" t="s">
        <v>35</v>
      </c>
      <c r="B19" s="63">
        <v>3.8</v>
      </c>
      <c r="C19" s="25">
        <v>32.200000000000003</v>
      </c>
      <c r="D19" s="69"/>
      <c r="E19" s="4">
        <v>1168499</v>
      </c>
    </row>
    <row r="20" spans="1:5" ht="15.75" thickBot="1" x14ac:dyDescent="0.3">
      <c r="A20" s="11" t="s">
        <v>36</v>
      </c>
      <c r="B20" s="63">
        <v>3.5880000000000001</v>
      </c>
      <c r="C20" s="25">
        <v>26.4</v>
      </c>
      <c r="D20" s="69"/>
      <c r="E20" s="4">
        <v>1357910</v>
      </c>
    </row>
    <row r="21" spans="1:5" ht="15.75" thickBot="1" x14ac:dyDescent="0.3">
      <c r="A21" s="11" t="s">
        <v>37</v>
      </c>
      <c r="B21" s="63">
        <v>10.722</v>
      </c>
      <c r="C21" s="25">
        <v>30.7</v>
      </c>
      <c r="D21" s="69"/>
      <c r="E21" s="4">
        <v>3487973</v>
      </c>
    </row>
    <row r="22" spans="1:5" x14ac:dyDescent="0.25">
      <c r="A22" s="13" t="s">
        <v>38</v>
      </c>
      <c r="B22" s="66">
        <v>5.5549999999999997</v>
      </c>
      <c r="C22" s="26">
        <v>34</v>
      </c>
      <c r="D22" s="69"/>
      <c r="E22" s="4">
        <v>1631784</v>
      </c>
    </row>
  </sheetData>
  <mergeCells count="2">
    <mergeCell ref="B4:C4"/>
    <mergeCell ref="A4:A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I29"/>
  <sheetViews>
    <sheetView zoomScale="130" zoomScaleNormal="130" workbookViewId="0">
      <selection activeCell="E16" sqref="E16"/>
    </sheetView>
  </sheetViews>
  <sheetFormatPr defaultColWidth="9.140625" defaultRowHeight="15" x14ac:dyDescent="0.25"/>
  <cols>
    <col min="1" max="1" width="38.140625" style="4" customWidth="1"/>
    <col min="2" max="2" width="10.85546875" style="4" customWidth="1"/>
    <col min="3" max="3" width="11.5703125" style="4" customWidth="1"/>
    <col min="4" max="4" width="10.85546875" style="4" customWidth="1"/>
    <col min="5" max="5" width="11.5703125" style="4" customWidth="1"/>
    <col min="6" max="7" width="9.140625" style="4" hidden="1" customWidth="1"/>
    <col min="8" max="9" width="0" style="4" hidden="1" customWidth="1"/>
    <col min="10" max="16384" width="9.140625" style="4"/>
  </cols>
  <sheetData>
    <row r="1" spans="1:9" x14ac:dyDescent="0.25">
      <c r="A1" s="4" t="s">
        <v>59</v>
      </c>
    </row>
    <row r="2" spans="1:9" x14ac:dyDescent="0.25">
      <c r="A2" s="4" t="s">
        <v>39</v>
      </c>
    </row>
    <row r="3" spans="1:9" x14ac:dyDescent="0.25">
      <c r="A3" s="49" t="s">
        <v>46</v>
      </c>
      <c r="B3" s="48">
        <v>2022</v>
      </c>
      <c r="C3" s="48"/>
      <c r="D3" s="48">
        <v>2023</v>
      </c>
      <c r="E3" s="48"/>
    </row>
    <row r="4" spans="1:9" ht="39" thickBot="1" x14ac:dyDescent="0.3">
      <c r="A4" s="49"/>
      <c r="B4" s="9" t="s">
        <v>40</v>
      </c>
      <c r="C4" s="10" t="s">
        <v>47</v>
      </c>
      <c r="D4" s="9" t="s">
        <v>40</v>
      </c>
      <c r="E4" s="10" t="s">
        <v>47</v>
      </c>
      <c r="F4" s="70">
        <v>2020</v>
      </c>
      <c r="G4" s="4">
        <v>84948</v>
      </c>
      <c r="H4" s="4">
        <v>2019</v>
      </c>
      <c r="I4" s="71">
        <v>84666</v>
      </c>
    </row>
    <row r="5" spans="1:9" ht="16.5" thickTop="1" thickBot="1" x14ac:dyDescent="0.3">
      <c r="A5" s="11" t="s">
        <v>2</v>
      </c>
      <c r="B5" s="12">
        <v>18</v>
      </c>
      <c r="C5" s="72">
        <v>20.499703777970197</v>
      </c>
      <c r="D5" s="73">
        <v>18.5</v>
      </c>
      <c r="E5" s="72">
        <v>20.3</v>
      </c>
      <c r="F5" s="4">
        <v>17685</v>
      </c>
      <c r="G5" s="45">
        <f>F5/$G$4*100</f>
        <v>20.818618448933464</v>
      </c>
      <c r="H5" s="4">
        <v>17706</v>
      </c>
      <c r="I5" s="45">
        <f>H5/$I$4*100</f>
        <v>20.912763092622775</v>
      </c>
    </row>
    <row r="6" spans="1:9" ht="15.75" thickBot="1" x14ac:dyDescent="0.3">
      <c r="A6" s="11" t="s">
        <v>6</v>
      </c>
      <c r="B6" s="12">
        <v>10.5</v>
      </c>
      <c r="C6" s="72">
        <v>11.992434945084993</v>
      </c>
      <c r="D6" s="74">
        <v>10.8</v>
      </c>
      <c r="E6" s="72">
        <v>11.8</v>
      </c>
      <c r="F6" s="4">
        <v>9949</v>
      </c>
      <c r="G6" s="45">
        <f t="shared" ref="G6:G27" si="0">F6/$G$4*100</f>
        <v>11.711870791543062</v>
      </c>
      <c r="H6" s="4">
        <v>10005</v>
      </c>
      <c r="I6" s="45">
        <f t="shared" ref="I6:I27" si="1">H6/$I$4*100</f>
        <v>11.817022181277018</v>
      </c>
    </row>
    <row r="7" spans="1:9" ht="15.75" thickBot="1" x14ac:dyDescent="0.3">
      <c r="A7" s="11" t="s">
        <v>15</v>
      </c>
      <c r="B7" s="12">
        <v>7.2</v>
      </c>
      <c r="C7" s="72">
        <v>8.206489541083716</v>
      </c>
      <c r="D7" s="74">
        <v>7.5</v>
      </c>
      <c r="E7" s="72">
        <v>8.1999999999999993</v>
      </c>
      <c r="F7" s="4">
        <v>6957</v>
      </c>
      <c r="G7" s="45">
        <f t="shared" si="0"/>
        <v>8.1897160615906195</v>
      </c>
      <c r="H7" s="4">
        <v>6935</v>
      </c>
      <c r="I7" s="45">
        <f t="shared" si="1"/>
        <v>8.1910093780265978</v>
      </c>
    </row>
    <row r="8" spans="1:9" ht="15.75" thickBot="1" x14ac:dyDescent="0.3">
      <c r="A8" s="11" t="s">
        <v>16</v>
      </c>
      <c r="B8" s="12">
        <v>6</v>
      </c>
      <c r="C8" s="72">
        <v>6.888301508453722</v>
      </c>
      <c r="D8" s="74">
        <v>6.2</v>
      </c>
      <c r="E8" s="72">
        <v>6.8</v>
      </c>
      <c r="F8" s="4">
        <v>5916</v>
      </c>
      <c r="G8" s="45">
        <f t="shared" si="0"/>
        <v>6.9642604887695994</v>
      </c>
      <c r="H8" s="4">
        <v>5908</v>
      </c>
      <c r="I8" s="45">
        <f t="shared" si="1"/>
        <v>6.9780077008480381</v>
      </c>
    </row>
    <row r="9" spans="1:9" ht="15.75" thickBot="1" x14ac:dyDescent="0.3">
      <c r="A9" s="11" t="s">
        <v>0</v>
      </c>
      <c r="B9" s="12">
        <v>5.7</v>
      </c>
      <c r="C9" s="72">
        <v>6.4997949232101355</v>
      </c>
      <c r="D9" s="74">
        <v>5.9</v>
      </c>
      <c r="E9" s="72">
        <v>6.5</v>
      </c>
      <c r="F9" s="4">
        <v>5704</v>
      </c>
      <c r="G9" s="45">
        <f t="shared" si="0"/>
        <v>6.714696049347836</v>
      </c>
      <c r="H9" s="4">
        <v>5730</v>
      </c>
      <c r="I9" s="45">
        <f t="shared" si="1"/>
        <v>6.7677698249592524</v>
      </c>
    </row>
    <row r="10" spans="1:9" ht="15.75" thickBot="1" x14ac:dyDescent="0.3">
      <c r="A10" s="11" t="s">
        <v>10</v>
      </c>
      <c r="B10" s="12">
        <v>5.4</v>
      </c>
      <c r="C10" s="72">
        <v>6.1181242309620378</v>
      </c>
      <c r="D10" s="74">
        <v>5.6</v>
      </c>
      <c r="E10" s="72">
        <v>6.2</v>
      </c>
      <c r="F10" s="4">
        <v>5187</v>
      </c>
      <c r="G10" s="45">
        <f t="shared" si="0"/>
        <v>6.1060884305692902</v>
      </c>
      <c r="H10" s="4">
        <v>5114</v>
      </c>
      <c r="I10" s="45">
        <f t="shared" si="1"/>
        <v>6.0402050409845742</v>
      </c>
    </row>
    <row r="11" spans="1:9" ht="15.75" thickBot="1" x14ac:dyDescent="0.3">
      <c r="A11" s="11" t="s">
        <v>22</v>
      </c>
      <c r="B11" s="12">
        <v>4.9000000000000004</v>
      </c>
      <c r="C11" s="72">
        <v>5.5655562138267323</v>
      </c>
      <c r="D11" s="74">
        <v>5.0999999999999996</v>
      </c>
      <c r="E11" s="72">
        <v>5.6</v>
      </c>
      <c r="F11" s="4">
        <v>4585</v>
      </c>
      <c r="G11" s="45">
        <f t="shared" si="0"/>
        <v>5.3974195978716386</v>
      </c>
      <c r="H11" s="4">
        <v>4422</v>
      </c>
      <c r="I11" s="45">
        <f t="shared" si="1"/>
        <v>5.2228757706753592</v>
      </c>
    </row>
    <row r="12" spans="1:9" ht="15.75" thickBot="1" x14ac:dyDescent="0.3">
      <c r="A12" s="11" t="s">
        <v>13</v>
      </c>
      <c r="B12" s="12">
        <v>3.7</v>
      </c>
      <c r="C12" s="72">
        <v>4.2279998177095202</v>
      </c>
      <c r="D12" s="74">
        <v>3.9</v>
      </c>
      <c r="E12" s="72">
        <v>4.2</v>
      </c>
      <c r="F12" s="4">
        <v>3557</v>
      </c>
      <c r="G12" s="45">
        <f>F12/$G$4*100</f>
        <v>4.1872675048264822</v>
      </c>
      <c r="H12" s="4">
        <v>3511</v>
      </c>
      <c r="I12" s="45">
        <f>H12/$I$4*100</f>
        <v>4.1468830463231994</v>
      </c>
    </row>
    <row r="13" spans="1:9" ht="15.75" thickBot="1" x14ac:dyDescent="0.3">
      <c r="A13" s="11" t="s">
        <v>17</v>
      </c>
      <c r="B13" s="12">
        <v>3.6</v>
      </c>
      <c r="C13" s="72">
        <v>4.0901426423005063</v>
      </c>
      <c r="D13" s="74">
        <v>3.7</v>
      </c>
      <c r="E13" s="72">
        <v>4.0999999999999996</v>
      </c>
      <c r="F13" s="4">
        <v>3403</v>
      </c>
      <c r="G13" s="45">
        <f>F13/$G$4*100</f>
        <v>4.0059801290201067</v>
      </c>
      <c r="H13" s="4">
        <v>3348</v>
      </c>
      <c r="I13" s="45">
        <f>H13/$I$4*100</f>
        <v>3.9543618453688612</v>
      </c>
    </row>
    <row r="14" spans="1:9" ht="15.75" thickBot="1" x14ac:dyDescent="0.3">
      <c r="A14" s="11" t="s">
        <v>12</v>
      </c>
      <c r="B14" s="12">
        <v>3.5</v>
      </c>
      <c r="C14" s="72">
        <v>3.9750717768764527</v>
      </c>
      <c r="D14" s="74">
        <v>3.6</v>
      </c>
      <c r="E14" s="72">
        <v>4</v>
      </c>
      <c r="F14" s="4">
        <v>3380</v>
      </c>
      <c r="G14" s="45">
        <f>F14/$G$4*100</f>
        <v>3.978904741724349</v>
      </c>
      <c r="H14" s="4">
        <v>3401</v>
      </c>
      <c r="I14" s="45">
        <f>H14/$I$4*100</f>
        <v>4.0169607634705784</v>
      </c>
    </row>
    <row r="15" spans="1:9" ht="15.75" thickBot="1" x14ac:dyDescent="0.3">
      <c r="A15" s="11" t="s">
        <v>11</v>
      </c>
      <c r="B15" s="12">
        <v>3.4</v>
      </c>
      <c r="C15" s="72">
        <v>3.855443649455407</v>
      </c>
      <c r="D15" s="74">
        <v>3.5</v>
      </c>
      <c r="E15" s="72">
        <v>3.9</v>
      </c>
      <c r="F15" s="4">
        <v>3318</v>
      </c>
      <c r="G15" s="45">
        <f t="shared" si="0"/>
        <v>3.9059189151010032</v>
      </c>
      <c r="H15" s="4">
        <v>3296</v>
      </c>
      <c r="I15" s="45">
        <f t="shared" si="1"/>
        <v>3.8929440389294405</v>
      </c>
    </row>
    <row r="16" spans="1:9" ht="15.75" thickBot="1" x14ac:dyDescent="0.3">
      <c r="A16" s="11" t="s">
        <v>18</v>
      </c>
      <c r="B16" s="12">
        <v>3.3</v>
      </c>
      <c r="C16" s="72">
        <v>3.7996171899922526</v>
      </c>
      <c r="D16" s="74">
        <v>3.6</v>
      </c>
      <c r="E16" s="72">
        <v>3.9</v>
      </c>
      <c r="F16" s="4">
        <v>3089</v>
      </c>
      <c r="G16" s="45">
        <f t="shared" si="0"/>
        <v>3.6363422328954185</v>
      </c>
      <c r="H16" s="4">
        <v>2991</v>
      </c>
      <c r="I16" s="45">
        <f t="shared" si="1"/>
        <v>3.5327049819289913</v>
      </c>
    </row>
    <row r="17" spans="1:9" ht="15.75" thickBot="1" x14ac:dyDescent="0.3">
      <c r="A17" s="11" t="s">
        <v>1</v>
      </c>
      <c r="B17" s="12">
        <v>2.4</v>
      </c>
      <c r="C17" s="72">
        <v>2.6933418402223941</v>
      </c>
      <c r="D17" s="74">
        <v>2.4</v>
      </c>
      <c r="E17" s="72">
        <v>2.7</v>
      </c>
      <c r="F17" s="4">
        <v>2350</v>
      </c>
      <c r="G17" s="45">
        <f t="shared" si="0"/>
        <v>2.7663982671752132</v>
      </c>
      <c r="H17" s="4">
        <v>2409</v>
      </c>
      <c r="I17" s="45">
        <f t="shared" si="1"/>
        <v>2.8452979944723977</v>
      </c>
    </row>
    <row r="18" spans="1:9" ht="15.75" thickBot="1" x14ac:dyDescent="0.3">
      <c r="A18" s="11" t="s">
        <v>14</v>
      </c>
      <c r="B18" s="12">
        <v>2</v>
      </c>
      <c r="C18" s="72">
        <v>2.2900241534885843</v>
      </c>
      <c r="D18" s="74">
        <v>2.1</v>
      </c>
      <c r="E18" s="72">
        <v>2.2999999999999998</v>
      </c>
      <c r="F18" s="4">
        <v>1994</v>
      </c>
      <c r="G18" s="45">
        <f t="shared" si="0"/>
        <v>2.3473183594669678</v>
      </c>
      <c r="H18" s="4">
        <v>2006</v>
      </c>
      <c r="I18" s="45">
        <f t="shared" si="1"/>
        <v>2.3693099945668865</v>
      </c>
    </row>
    <row r="19" spans="1:9" ht="15.75" thickBot="1" x14ac:dyDescent="0.3">
      <c r="A19" s="11" t="s">
        <v>3</v>
      </c>
      <c r="B19" s="12">
        <v>1.8</v>
      </c>
      <c r="C19" s="72">
        <v>2.0667183156359661</v>
      </c>
      <c r="D19" s="74">
        <v>1.9</v>
      </c>
      <c r="E19" s="72">
        <v>2.1</v>
      </c>
      <c r="F19" s="4">
        <v>1758</v>
      </c>
      <c r="G19" s="45">
        <f t="shared" si="0"/>
        <v>2.0695013419974573</v>
      </c>
      <c r="H19" s="4">
        <v>1771</v>
      </c>
      <c r="I19" s="45">
        <f t="shared" si="1"/>
        <v>2.0917487539271962</v>
      </c>
    </row>
    <row r="20" spans="1:9" ht="15.75" thickBot="1" x14ac:dyDescent="0.3">
      <c r="A20" s="11" t="s">
        <v>19</v>
      </c>
      <c r="B20" s="12">
        <v>1.7</v>
      </c>
      <c r="C20" s="72">
        <v>1.9687371827006332</v>
      </c>
      <c r="D20" s="74">
        <v>1.8</v>
      </c>
      <c r="E20" s="72">
        <v>1.9</v>
      </c>
      <c r="F20" s="4">
        <v>1733</v>
      </c>
      <c r="G20" s="45">
        <f>F20/$G$4*100</f>
        <v>2.040071573197721</v>
      </c>
      <c r="H20" s="4">
        <v>1725</v>
      </c>
      <c r="I20" s="45">
        <f>H20/$I$4*100</f>
        <v>2.0374176174615548</v>
      </c>
    </row>
    <row r="21" spans="1:9" ht="15.75" thickBot="1" x14ac:dyDescent="0.3">
      <c r="A21" s="11" t="s">
        <v>23</v>
      </c>
      <c r="B21" s="12">
        <v>1.6</v>
      </c>
      <c r="C21" s="72">
        <v>1.8160689058013946</v>
      </c>
      <c r="D21" s="74">
        <v>1.6</v>
      </c>
      <c r="E21" s="72">
        <v>1.8</v>
      </c>
      <c r="F21" s="4">
        <v>1568</v>
      </c>
      <c r="G21" s="45">
        <f>F21/$G$4*100</f>
        <v>1.8458350991194614</v>
      </c>
      <c r="H21" s="4">
        <v>1588</v>
      </c>
      <c r="I21" s="45">
        <f>H21/$I$4*100</f>
        <v>1.8756053197269269</v>
      </c>
    </row>
    <row r="22" spans="1:9" ht="15.75" thickBot="1" x14ac:dyDescent="0.3">
      <c r="A22" s="11" t="s">
        <v>9</v>
      </c>
      <c r="B22" s="12">
        <v>1.6</v>
      </c>
      <c r="C22" s="72">
        <v>1.7978398578134256</v>
      </c>
      <c r="D22" s="74">
        <v>1.7</v>
      </c>
      <c r="E22" s="72">
        <v>1.8</v>
      </c>
      <c r="F22" s="4">
        <v>1499</v>
      </c>
      <c r="G22" s="45">
        <f>F22/$G$4*100</f>
        <v>1.7646089372321891</v>
      </c>
      <c r="H22" s="4">
        <v>1466</v>
      </c>
      <c r="I22" s="45">
        <f>H22/$I$4*100</f>
        <v>1.7315096969267474</v>
      </c>
    </row>
    <row r="23" spans="1:9" ht="15.75" thickBot="1" x14ac:dyDescent="0.3">
      <c r="A23" s="11" t="s">
        <v>5</v>
      </c>
      <c r="B23" s="12">
        <v>1.5</v>
      </c>
      <c r="C23" s="72">
        <v>1.7454313448480152</v>
      </c>
      <c r="D23" s="74">
        <v>1.5</v>
      </c>
      <c r="E23" s="72">
        <v>1.7</v>
      </c>
      <c r="F23" s="4">
        <v>1513</v>
      </c>
      <c r="G23" s="45">
        <f t="shared" si="0"/>
        <v>1.7810896077600415</v>
      </c>
      <c r="H23" s="4">
        <v>1537</v>
      </c>
      <c r="I23" s="45">
        <f t="shared" si="1"/>
        <v>1.8153686249498029</v>
      </c>
    </row>
    <row r="24" spans="1:9" ht="15.75" thickBot="1" x14ac:dyDescent="0.3">
      <c r="A24" s="11" t="s">
        <v>8</v>
      </c>
      <c r="B24" s="12">
        <v>1.5</v>
      </c>
      <c r="C24" s="72">
        <v>1.7123911953698219</v>
      </c>
      <c r="D24" s="74">
        <v>1.6</v>
      </c>
      <c r="E24" s="72">
        <v>1.7</v>
      </c>
      <c r="F24" s="4">
        <v>1476</v>
      </c>
      <c r="G24" s="45">
        <f t="shared" si="0"/>
        <v>1.7375335499364315</v>
      </c>
      <c r="H24" s="4">
        <v>1469</v>
      </c>
      <c r="I24" s="45">
        <f t="shared" si="1"/>
        <v>1.735053031913637</v>
      </c>
    </row>
    <row r="25" spans="1:9" ht="15.75" thickBot="1" x14ac:dyDescent="0.3">
      <c r="A25" s="11" t="s">
        <v>4</v>
      </c>
      <c r="B25" s="12">
        <v>1.5</v>
      </c>
      <c r="C25" s="72">
        <v>1.7101125643713257</v>
      </c>
      <c r="D25" s="74">
        <v>1.5</v>
      </c>
      <c r="E25" s="72">
        <v>1.7</v>
      </c>
      <c r="F25" s="4">
        <v>1446</v>
      </c>
      <c r="G25" s="45">
        <f t="shared" si="0"/>
        <v>1.7022178273767481</v>
      </c>
      <c r="H25" s="4">
        <v>1418</v>
      </c>
      <c r="I25" s="45">
        <f t="shared" si="1"/>
        <v>1.674816337136513</v>
      </c>
    </row>
    <row r="26" spans="1:9" ht="15.75" thickBot="1" x14ac:dyDescent="0.3">
      <c r="A26" s="11" t="s">
        <v>21</v>
      </c>
      <c r="B26" s="12">
        <v>1.4</v>
      </c>
      <c r="C26" s="72">
        <v>1.5494690789773504</v>
      </c>
      <c r="D26" s="74">
        <v>1.4</v>
      </c>
      <c r="E26" s="72">
        <v>1.5</v>
      </c>
      <c r="F26" s="4">
        <v>1354</v>
      </c>
      <c r="G26" s="45">
        <f t="shared" si="0"/>
        <v>1.5939162781937184</v>
      </c>
      <c r="H26" s="4">
        <v>1334</v>
      </c>
      <c r="I26" s="45">
        <f t="shared" si="1"/>
        <v>1.5756029575036024</v>
      </c>
    </row>
    <row r="27" spans="1:9" ht="15.75" thickBot="1" x14ac:dyDescent="0.3">
      <c r="A27" s="11" t="s">
        <v>7</v>
      </c>
      <c r="B27" s="12">
        <v>1.4</v>
      </c>
      <c r="C27" s="72">
        <v>1.5426331859818621</v>
      </c>
      <c r="D27" s="74">
        <v>1.4</v>
      </c>
      <c r="E27" s="72">
        <v>1.5</v>
      </c>
      <c r="F27" s="4">
        <v>1304</v>
      </c>
      <c r="G27" s="45">
        <f t="shared" si="0"/>
        <v>1.5350567405942459</v>
      </c>
      <c r="H27" s="4">
        <v>1289</v>
      </c>
      <c r="I27" s="45">
        <f t="shared" si="1"/>
        <v>1.5224529327002574</v>
      </c>
    </row>
    <row r="28" spans="1:9" ht="15.75" thickBot="1" x14ac:dyDescent="0.3">
      <c r="A28" s="13" t="s">
        <v>20</v>
      </c>
      <c r="B28" s="14">
        <v>1.3</v>
      </c>
      <c r="C28" s="72">
        <v>1.4788315180239713</v>
      </c>
      <c r="D28" s="74">
        <v>1.4</v>
      </c>
      <c r="E28" s="72">
        <v>1.5</v>
      </c>
      <c r="F28" s="4">
        <v>1291</v>
      </c>
      <c r="G28" s="45">
        <f>F28/$G$4*100</f>
        <v>1.519753260818383</v>
      </c>
      <c r="H28" s="4">
        <v>1272</v>
      </c>
      <c r="I28" s="45">
        <f>H28/$I$4*100</f>
        <v>1.5023740344412162</v>
      </c>
    </row>
    <row r="29" spans="1:9" x14ac:dyDescent="0.25">
      <c r="B29" s="75"/>
      <c r="D29" s="45"/>
    </row>
  </sheetData>
  <mergeCells count="3">
    <mergeCell ref="B3:C3"/>
    <mergeCell ref="A3:A4"/>
    <mergeCell ref="D3: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C47F-4783-4325-8D87-9C4E06362D8E}">
  <sheetPr>
    <tabColor rgb="FF00B0F0"/>
  </sheetPr>
  <dimension ref="A1:J15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8.5703125" style="42" customWidth="1"/>
    <col min="2" max="7" width="11" style="42" customWidth="1"/>
    <col min="8" max="8" width="10.7109375" style="42" customWidth="1"/>
    <col min="9" max="9" width="11" style="42" customWidth="1"/>
    <col min="10" max="16384" width="9.140625" style="42"/>
  </cols>
  <sheetData>
    <row r="1" spans="1:10" x14ac:dyDescent="0.25">
      <c r="A1" s="42" t="s">
        <v>77</v>
      </c>
    </row>
    <row r="2" spans="1:10" x14ac:dyDescent="0.25">
      <c r="A2" s="42" t="s">
        <v>39</v>
      </c>
      <c r="C2" s="76"/>
      <c r="G2" s="76"/>
    </row>
    <row r="3" spans="1:10" x14ac:dyDescent="0.25">
      <c r="B3" s="77" t="s">
        <v>68</v>
      </c>
      <c r="C3" s="77" t="s">
        <v>69</v>
      </c>
      <c r="D3" s="77" t="s">
        <v>70</v>
      </c>
      <c r="E3" s="77" t="s">
        <v>71</v>
      </c>
      <c r="F3" s="77" t="s">
        <v>72</v>
      </c>
      <c r="G3" s="77" t="s">
        <v>73</v>
      </c>
      <c r="H3" s="77" t="s">
        <v>74</v>
      </c>
    </row>
    <row r="4" spans="1:10" x14ac:dyDescent="0.25">
      <c r="A4" s="42">
        <v>2022</v>
      </c>
      <c r="B4" s="78">
        <v>12.016695957820737</v>
      </c>
      <c r="C4" s="78">
        <v>27.174868189806677</v>
      </c>
      <c r="D4" s="78">
        <v>22.803163444639718</v>
      </c>
      <c r="E4" s="78">
        <v>21.309314586994727</v>
      </c>
      <c r="F4" s="78">
        <v>12.7</v>
      </c>
      <c r="G4" s="78">
        <v>3.4380492091388404</v>
      </c>
      <c r="H4" s="78">
        <v>0.47231985940246041</v>
      </c>
      <c r="I4" s="42" t="s">
        <v>75</v>
      </c>
    </row>
    <row r="5" spans="1:10" x14ac:dyDescent="0.25">
      <c r="A5" s="42">
        <v>2022</v>
      </c>
      <c r="B5" s="78">
        <v>12.364927446742822</v>
      </c>
      <c r="C5" s="78">
        <v>23.958011732016054</v>
      </c>
      <c r="D5" s="78">
        <v>19.697437480703922</v>
      </c>
      <c r="E5" s="78">
        <v>25</v>
      </c>
      <c r="F5" s="78">
        <v>13.951065143562827</v>
      </c>
      <c r="G5" s="78">
        <v>4.6349181846248841</v>
      </c>
      <c r="H5" s="78">
        <v>0.4</v>
      </c>
      <c r="I5" s="42" t="s">
        <v>76</v>
      </c>
    </row>
    <row r="6" spans="1:10" x14ac:dyDescent="0.25">
      <c r="A6" s="42">
        <v>2023</v>
      </c>
      <c r="B6" s="78">
        <v>11.9</v>
      </c>
      <c r="C6" s="78">
        <v>26.6</v>
      </c>
      <c r="D6" s="78">
        <v>22</v>
      </c>
      <c r="E6" s="78">
        <v>21.5</v>
      </c>
      <c r="F6" s="78">
        <v>12.8</v>
      </c>
      <c r="G6" s="78">
        <v>4.2</v>
      </c>
      <c r="H6" s="78">
        <v>0.9</v>
      </c>
      <c r="I6" s="42" t="s">
        <v>75</v>
      </c>
    </row>
    <row r="7" spans="1:10" x14ac:dyDescent="0.25">
      <c r="A7" s="42">
        <v>2023</v>
      </c>
      <c r="B7" s="78">
        <v>12.2</v>
      </c>
      <c r="C7" s="78">
        <v>23.6</v>
      </c>
      <c r="D7" s="78">
        <v>19.7</v>
      </c>
      <c r="E7" s="78">
        <v>23.6</v>
      </c>
      <c r="F7" s="78">
        <v>14.4</v>
      </c>
      <c r="G7" s="78">
        <v>5.5</v>
      </c>
      <c r="H7" s="78">
        <v>1.1000000000000001</v>
      </c>
      <c r="I7" s="42" t="s">
        <v>76</v>
      </c>
      <c r="J7" s="78"/>
    </row>
    <row r="8" spans="1:10" x14ac:dyDescent="0.25">
      <c r="J8" s="78"/>
    </row>
    <row r="10" spans="1:10" x14ac:dyDescent="0.25">
      <c r="B10" s="78"/>
    </row>
    <row r="11" spans="1:10" x14ac:dyDescent="0.25">
      <c r="B11" s="78"/>
      <c r="J11" s="78"/>
    </row>
    <row r="12" spans="1:10" x14ac:dyDescent="0.25">
      <c r="J12" s="78"/>
    </row>
    <row r="13" spans="1:10" x14ac:dyDescent="0.25">
      <c r="J13" s="78"/>
    </row>
    <row r="14" spans="1:10" x14ac:dyDescent="0.25">
      <c r="J14" s="78"/>
    </row>
    <row r="15" spans="1:10" x14ac:dyDescent="0.25">
      <c r="J15" s="7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N21"/>
  <sheetViews>
    <sheetView topLeftCell="C1" zoomScale="130" zoomScaleNormal="130" workbookViewId="0">
      <selection activeCell="H1" sqref="H1:H1048576"/>
    </sheetView>
  </sheetViews>
  <sheetFormatPr defaultColWidth="9.140625" defaultRowHeight="15" x14ac:dyDescent="0.25"/>
  <cols>
    <col min="1" max="1" width="18.42578125" style="4" customWidth="1"/>
    <col min="2" max="3" width="9.140625" style="4"/>
    <col min="4" max="4" width="13.42578125" style="4" customWidth="1"/>
    <col min="5" max="5" width="10.42578125" style="4" bestFit="1" customWidth="1"/>
    <col min="6" max="6" width="9.140625" style="4"/>
    <col min="7" max="7" width="12.7109375" style="4" customWidth="1"/>
    <col min="8" max="8" width="12.7109375" style="4" hidden="1" customWidth="1"/>
    <col min="9" max="9" width="11.7109375" style="4" customWidth="1"/>
    <col min="10" max="16384" width="9.140625" style="4"/>
  </cols>
  <sheetData>
    <row r="1" spans="1:14" x14ac:dyDescent="0.25">
      <c r="A1" s="22" t="s">
        <v>60</v>
      </c>
      <c r="B1" s="5"/>
      <c r="C1" s="5"/>
      <c r="D1" s="5"/>
      <c r="E1" s="5"/>
      <c r="F1" s="5"/>
      <c r="G1" s="5"/>
      <c r="H1" s="5"/>
    </row>
    <row r="2" spans="1:14" x14ac:dyDescent="0.25">
      <c r="A2" s="4" t="s">
        <v>39</v>
      </c>
      <c r="B2" s="5"/>
      <c r="C2" s="5"/>
      <c r="D2" s="5"/>
      <c r="E2" s="5"/>
      <c r="F2" s="5"/>
      <c r="G2" s="5"/>
      <c r="H2" s="5"/>
    </row>
    <row r="3" spans="1:14" ht="15.75" thickBot="1" x14ac:dyDescent="0.3">
      <c r="A3" s="50" t="s">
        <v>43</v>
      </c>
      <c r="B3" s="52">
        <v>2022</v>
      </c>
      <c r="C3" s="53"/>
      <c r="D3" s="54"/>
      <c r="E3" s="56">
        <v>2023</v>
      </c>
      <c r="F3" s="57"/>
      <c r="G3" s="57"/>
      <c r="H3" s="10"/>
    </row>
    <row r="4" spans="1:14" ht="39" thickBot="1" x14ac:dyDescent="0.3">
      <c r="A4" s="51"/>
      <c r="B4" s="23" t="s">
        <v>40</v>
      </c>
      <c r="C4" s="23" t="s">
        <v>41</v>
      </c>
      <c r="D4" s="23" t="s">
        <v>44</v>
      </c>
      <c r="E4" s="23" t="s">
        <v>40</v>
      </c>
      <c r="F4" s="23" t="s">
        <v>41</v>
      </c>
      <c r="G4" s="58" t="s">
        <v>44</v>
      </c>
      <c r="H4" s="79" t="s">
        <v>50</v>
      </c>
      <c r="I4" s="4" t="s">
        <v>66</v>
      </c>
      <c r="J4" s="5">
        <v>2022</v>
      </c>
    </row>
    <row r="5" spans="1:14" ht="16.5" thickTop="1" thickBot="1" x14ac:dyDescent="0.3">
      <c r="A5" s="24" t="s">
        <v>45</v>
      </c>
      <c r="B5" s="18">
        <v>34.899000000000001</v>
      </c>
      <c r="C5" s="21">
        <f>B5/B$5*100</f>
        <v>100</v>
      </c>
      <c r="D5" s="15">
        <v>9.2407715476275989</v>
      </c>
      <c r="E5" s="18">
        <v>36.877000000000002</v>
      </c>
      <c r="F5" s="21">
        <v>100</v>
      </c>
      <c r="G5" s="41">
        <v>9.8000000000000007</v>
      </c>
      <c r="H5" s="80"/>
      <c r="I5" s="61">
        <v>37636508</v>
      </c>
      <c r="J5" s="6">
        <v>37766327</v>
      </c>
      <c r="K5" s="4">
        <v>34899</v>
      </c>
      <c r="L5" s="45">
        <f>K5/K$5*100</f>
        <v>100</v>
      </c>
      <c r="M5" s="37">
        <v>36877</v>
      </c>
      <c r="N5" s="45">
        <f>M5/M$5*100</f>
        <v>100</v>
      </c>
    </row>
    <row r="6" spans="1:14" ht="15.75" thickBot="1" x14ac:dyDescent="0.3">
      <c r="A6" s="11" t="s">
        <v>24</v>
      </c>
      <c r="B6" s="19">
        <v>2.9529999999999998</v>
      </c>
      <c r="C6" s="21">
        <f t="shared" ref="C6:C21" si="0">B6/B$5*100</f>
        <v>8.4615605031662788</v>
      </c>
      <c r="D6" s="16">
        <v>10.224952415709931</v>
      </c>
      <c r="E6" s="19">
        <v>3.085</v>
      </c>
      <c r="F6" s="62">
        <v>8.3656479648561426</v>
      </c>
      <c r="G6" s="25">
        <v>10.7</v>
      </c>
      <c r="H6" s="81"/>
      <c r="I6" s="64">
        <v>2879271</v>
      </c>
      <c r="J6" s="7">
        <v>2888033</v>
      </c>
      <c r="K6" s="4">
        <v>2953</v>
      </c>
      <c r="L6" s="45">
        <f t="shared" ref="L6:L21" si="1">K6/K$5*100</f>
        <v>8.4615605031662788</v>
      </c>
      <c r="M6" s="38">
        <v>3085</v>
      </c>
      <c r="N6" s="45">
        <f t="shared" ref="N6:N21" si="2">M6/M$5*100</f>
        <v>8.3656479648561426</v>
      </c>
    </row>
    <row r="7" spans="1:14" ht="15.75" thickBot="1" x14ac:dyDescent="0.3">
      <c r="A7" s="11" t="s">
        <v>42</v>
      </c>
      <c r="B7" s="19">
        <v>1.2370000000000001</v>
      </c>
      <c r="C7" s="21">
        <f t="shared" si="0"/>
        <v>3.544514169460443</v>
      </c>
      <c r="D7" s="16">
        <v>6.1638088252587613</v>
      </c>
      <c r="E7" s="19">
        <v>1.2789999999999999</v>
      </c>
      <c r="F7" s="62">
        <v>3.4682864658188031</v>
      </c>
      <c r="G7" s="25">
        <v>6.4</v>
      </c>
      <c r="H7" s="81"/>
      <c r="I7" s="65">
        <v>1996003</v>
      </c>
      <c r="J7" s="8">
        <v>2006876</v>
      </c>
      <c r="K7" s="4">
        <v>1237</v>
      </c>
      <c r="L7" s="45">
        <f t="shared" si="1"/>
        <v>3.544514169460443</v>
      </c>
      <c r="M7" s="38">
        <v>1279</v>
      </c>
      <c r="N7" s="45">
        <f t="shared" si="2"/>
        <v>3.4682864658188031</v>
      </c>
    </row>
    <row r="8" spans="1:14" ht="15.75" thickBot="1" x14ac:dyDescent="0.3">
      <c r="A8" s="11" t="s">
        <v>25</v>
      </c>
      <c r="B8" s="19">
        <v>2.0190000000000001</v>
      </c>
      <c r="C8" s="21">
        <f t="shared" si="0"/>
        <v>5.7852660534685807</v>
      </c>
      <c r="D8" s="16">
        <v>9.97215797202165</v>
      </c>
      <c r="E8" s="19">
        <v>2.129</v>
      </c>
      <c r="F8" s="62">
        <v>5.7732461968164435</v>
      </c>
      <c r="G8" s="25">
        <v>10.6</v>
      </c>
      <c r="H8" s="81"/>
      <c r="I8" s="65">
        <v>2011047</v>
      </c>
      <c r="J8" s="8">
        <v>2024637</v>
      </c>
      <c r="K8" s="4">
        <v>2019</v>
      </c>
      <c r="L8" s="45">
        <f t="shared" si="1"/>
        <v>5.7852660534685807</v>
      </c>
      <c r="M8" s="38">
        <v>2129</v>
      </c>
      <c r="N8" s="45">
        <f t="shared" si="2"/>
        <v>5.7732461968164435</v>
      </c>
    </row>
    <row r="9" spans="1:14" ht="15.75" thickBot="1" x14ac:dyDescent="0.3">
      <c r="A9" s="11" t="s">
        <v>26</v>
      </c>
      <c r="B9" s="19">
        <v>0.72299999999999998</v>
      </c>
      <c r="C9" s="21">
        <f t="shared" si="0"/>
        <v>2.0716925986417949</v>
      </c>
      <c r="D9" s="16">
        <v>7.3777316995518261</v>
      </c>
      <c r="E9" s="19">
        <v>0.77100000000000002</v>
      </c>
      <c r="F9" s="62">
        <v>2.0907340618813897</v>
      </c>
      <c r="G9" s="25">
        <v>7.9</v>
      </c>
      <c r="H9" s="81"/>
      <c r="I9" s="65">
        <v>975023</v>
      </c>
      <c r="J9" s="8">
        <v>979976</v>
      </c>
      <c r="K9" s="4">
        <v>723</v>
      </c>
      <c r="L9" s="45">
        <f t="shared" si="1"/>
        <v>2.0716925986417949</v>
      </c>
      <c r="M9" s="38">
        <v>771</v>
      </c>
      <c r="N9" s="45">
        <f t="shared" si="2"/>
        <v>2.0907340618813897</v>
      </c>
    </row>
    <row r="10" spans="1:14" ht="15.75" thickBot="1" x14ac:dyDescent="0.3">
      <c r="A10" s="11" t="s">
        <v>27</v>
      </c>
      <c r="B10" s="19">
        <v>2.6509999999999998</v>
      </c>
      <c r="C10" s="21">
        <f t="shared" si="0"/>
        <v>7.5962061950199136</v>
      </c>
      <c r="D10" s="16">
        <v>11.145759713228978</v>
      </c>
      <c r="E10" s="19">
        <v>2.734</v>
      </c>
      <c r="F10" s="62">
        <v>7.4138351818206463</v>
      </c>
      <c r="G10" s="25">
        <v>11.6</v>
      </c>
      <c r="H10" s="81"/>
      <c r="I10" s="65">
        <v>2362519</v>
      </c>
      <c r="J10" s="8">
        <v>2378483</v>
      </c>
      <c r="K10" s="4">
        <v>2651</v>
      </c>
      <c r="L10" s="45">
        <f t="shared" si="1"/>
        <v>7.5962061950199153</v>
      </c>
      <c r="M10" s="38">
        <v>2734</v>
      </c>
      <c r="N10" s="45">
        <f t="shared" si="2"/>
        <v>7.4138351818206463</v>
      </c>
    </row>
    <row r="11" spans="1:14" ht="15.75" thickBot="1" x14ac:dyDescent="0.3">
      <c r="A11" s="11" t="s">
        <v>28</v>
      </c>
      <c r="B11" s="19">
        <v>3.2629999999999999</v>
      </c>
      <c r="C11" s="21">
        <f t="shared" si="0"/>
        <v>9.3498381042436733</v>
      </c>
      <c r="D11" s="16">
        <v>9.5158549950510558</v>
      </c>
      <c r="E11" s="19">
        <v>3.35</v>
      </c>
      <c r="F11" s="62">
        <v>9.0842530574612912</v>
      </c>
      <c r="G11" s="25">
        <v>9.8000000000000007</v>
      </c>
      <c r="H11" s="81"/>
      <c r="I11" s="65">
        <v>3429632</v>
      </c>
      <c r="J11" s="8">
        <v>3429014</v>
      </c>
      <c r="K11" s="4">
        <v>3263</v>
      </c>
      <c r="L11" s="45">
        <f t="shared" si="1"/>
        <v>9.3498381042436733</v>
      </c>
      <c r="M11" s="38">
        <v>3350</v>
      </c>
      <c r="N11" s="45">
        <f t="shared" si="2"/>
        <v>9.0842530574612912</v>
      </c>
    </row>
    <row r="12" spans="1:14" ht="15.75" thickBot="1" x14ac:dyDescent="0.3">
      <c r="A12" s="11" t="s">
        <v>29</v>
      </c>
      <c r="B12" s="19">
        <v>5.9279999999999999</v>
      </c>
      <c r="C12" s="21">
        <f t="shared" si="0"/>
        <v>16.986160061892893</v>
      </c>
      <c r="D12" s="16">
        <v>10.757425853970485</v>
      </c>
      <c r="E12" s="19">
        <v>6.7370000000000001</v>
      </c>
      <c r="F12" s="62">
        <v>18.268839656154242</v>
      </c>
      <c r="G12" s="25">
        <v>12.2</v>
      </c>
      <c r="H12" s="81"/>
      <c r="I12" s="65">
        <v>5510527</v>
      </c>
      <c r="J12" s="8">
        <v>5510612</v>
      </c>
      <c r="K12" s="4">
        <v>5928</v>
      </c>
      <c r="L12" s="45">
        <f t="shared" si="1"/>
        <v>16.986160061892893</v>
      </c>
      <c r="M12" s="38">
        <v>6737</v>
      </c>
      <c r="N12" s="45">
        <f t="shared" si="2"/>
        <v>18.268839656154242</v>
      </c>
    </row>
    <row r="13" spans="1:14" ht="15.75" thickBot="1" x14ac:dyDescent="0.3">
      <c r="A13" s="11" t="s">
        <v>30</v>
      </c>
      <c r="B13" s="19">
        <v>0.66100000000000003</v>
      </c>
      <c r="C13" s="21">
        <f t="shared" si="0"/>
        <v>1.8940370784263159</v>
      </c>
      <c r="D13" s="16">
        <v>7.0137016534722072</v>
      </c>
      <c r="E13" s="19">
        <v>0.67400000000000004</v>
      </c>
      <c r="F13" s="62">
        <v>1.8276974808146</v>
      </c>
      <c r="G13" s="25">
        <v>7.2</v>
      </c>
      <c r="H13" s="81"/>
      <c r="I13" s="65">
        <v>936725</v>
      </c>
      <c r="J13" s="8">
        <v>942441</v>
      </c>
      <c r="K13" s="4">
        <v>661</v>
      </c>
      <c r="L13" s="45">
        <f t="shared" si="1"/>
        <v>1.8940370784263159</v>
      </c>
      <c r="M13" s="38">
        <v>674</v>
      </c>
      <c r="N13" s="45">
        <f t="shared" si="2"/>
        <v>1.8276974808146</v>
      </c>
    </row>
    <row r="14" spans="1:14" ht="15.75" thickBot="1" x14ac:dyDescent="0.3">
      <c r="A14" s="11" t="s">
        <v>31</v>
      </c>
      <c r="B14" s="19">
        <v>1.649</v>
      </c>
      <c r="C14" s="21">
        <f t="shared" si="0"/>
        <v>4.7250637554084642</v>
      </c>
      <c r="D14" s="16">
        <v>7.9313240645703091</v>
      </c>
      <c r="E14" s="19">
        <v>1.6910000000000001</v>
      </c>
      <c r="F14" s="62">
        <v>4.5855140060200128</v>
      </c>
      <c r="G14" s="25">
        <v>8.1999999999999993</v>
      </c>
      <c r="H14" s="81"/>
      <c r="I14" s="65">
        <v>2071676</v>
      </c>
      <c r="J14" s="8">
        <v>2079098</v>
      </c>
      <c r="K14" s="4">
        <v>1649</v>
      </c>
      <c r="L14" s="45">
        <f t="shared" si="1"/>
        <v>4.7250637554084642</v>
      </c>
      <c r="M14" s="38">
        <v>1691</v>
      </c>
      <c r="N14" s="45">
        <f t="shared" si="2"/>
        <v>4.5855140060200128</v>
      </c>
    </row>
    <row r="15" spans="1:14" ht="15.75" thickBot="1" x14ac:dyDescent="0.3">
      <c r="A15" s="11" t="s">
        <v>32</v>
      </c>
      <c r="B15" s="19">
        <v>1.2270000000000001</v>
      </c>
      <c r="C15" s="21">
        <f t="shared" si="0"/>
        <v>3.5158600532966564</v>
      </c>
      <c r="D15" s="16">
        <v>10.731575057615526</v>
      </c>
      <c r="E15" s="19">
        <v>1.26</v>
      </c>
      <c r="F15" s="62">
        <v>3.4167638365376791</v>
      </c>
      <c r="G15" s="25">
        <v>11.1</v>
      </c>
      <c r="H15" s="81"/>
      <c r="I15" s="65">
        <v>1138216</v>
      </c>
      <c r="J15" s="8">
        <v>1143355</v>
      </c>
      <c r="K15" s="4">
        <v>1227</v>
      </c>
      <c r="L15" s="45">
        <f t="shared" si="1"/>
        <v>3.515860053296656</v>
      </c>
      <c r="M15" s="38">
        <v>1260</v>
      </c>
      <c r="N15" s="45">
        <f t="shared" si="2"/>
        <v>3.4167638365376791</v>
      </c>
    </row>
    <row r="16" spans="1:14" ht="15.75" thickBot="1" x14ac:dyDescent="0.3">
      <c r="A16" s="11" t="s">
        <v>33</v>
      </c>
      <c r="B16" s="19">
        <v>2.2629999999999999</v>
      </c>
      <c r="C16" s="21">
        <f t="shared" si="0"/>
        <v>6.4844264878649822</v>
      </c>
      <c r="D16" s="16">
        <v>9.5958668655098762</v>
      </c>
      <c r="E16" s="19">
        <v>2.383</v>
      </c>
      <c r="F16" s="62">
        <v>6.4620223987851499</v>
      </c>
      <c r="G16" s="25">
        <v>10.1</v>
      </c>
      <c r="H16" s="81"/>
      <c r="I16" s="65">
        <v>2359573</v>
      </c>
      <c r="J16" s="8">
        <v>2358307</v>
      </c>
      <c r="K16" s="4">
        <v>2263</v>
      </c>
      <c r="L16" s="45">
        <f t="shared" si="1"/>
        <v>6.4844264878649822</v>
      </c>
      <c r="M16" s="38">
        <v>2383</v>
      </c>
      <c r="N16" s="45">
        <f t="shared" si="2"/>
        <v>6.4620223987851499</v>
      </c>
    </row>
    <row r="17" spans="1:14" ht="15.75" thickBot="1" x14ac:dyDescent="0.3">
      <c r="A17" s="11" t="s">
        <v>34</v>
      </c>
      <c r="B17" s="19">
        <v>3.8370000000000002</v>
      </c>
      <c r="C17" s="21">
        <f t="shared" si="0"/>
        <v>10.994584372045045</v>
      </c>
      <c r="D17" s="16">
        <v>8.8273822314021064</v>
      </c>
      <c r="E17" s="19">
        <v>4</v>
      </c>
      <c r="F17" s="62">
        <v>10.846869322341838</v>
      </c>
      <c r="G17" s="25">
        <v>9.3000000000000007</v>
      </c>
      <c r="H17" s="81"/>
      <c r="I17" s="65">
        <v>4320130</v>
      </c>
      <c r="J17" s="8">
        <v>4346702</v>
      </c>
      <c r="K17" s="4">
        <v>3837</v>
      </c>
      <c r="L17" s="45">
        <f t="shared" si="1"/>
        <v>10.994584372045043</v>
      </c>
      <c r="M17" s="38">
        <v>4000</v>
      </c>
      <c r="N17" s="45">
        <f t="shared" si="2"/>
        <v>10.846869322341838</v>
      </c>
    </row>
    <row r="18" spans="1:14" ht="15.75" thickBot="1" x14ac:dyDescent="0.3">
      <c r="A18" s="11" t="s">
        <v>35</v>
      </c>
      <c r="B18" s="19">
        <v>0.995</v>
      </c>
      <c r="C18" s="21">
        <f t="shared" si="0"/>
        <v>2.8510845582967992</v>
      </c>
      <c r="D18" s="16">
        <v>8.4453437721743327</v>
      </c>
      <c r="E18" s="19">
        <v>1.022</v>
      </c>
      <c r="F18" s="62">
        <v>2.7713751118583398</v>
      </c>
      <c r="G18" s="25">
        <v>8.6999999999999993</v>
      </c>
      <c r="H18" s="81"/>
      <c r="I18" s="65">
        <v>1168499</v>
      </c>
      <c r="J18" s="8">
        <v>1178164</v>
      </c>
      <c r="K18" s="4">
        <v>995</v>
      </c>
      <c r="L18" s="45">
        <f t="shared" si="1"/>
        <v>2.8510845582967992</v>
      </c>
      <c r="M18" s="38">
        <v>1022</v>
      </c>
      <c r="N18" s="45">
        <f t="shared" si="2"/>
        <v>2.7713751118583398</v>
      </c>
    </row>
    <row r="19" spans="1:14" ht="15.75" thickBot="1" x14ac:dyDescent="0.3">
      <c r="A19" s="11" t="s">
        <v>36</v>
      </c>
      <c r="B19" s="19">
        <v>0.92</v>
      </c>
      <c r="C19" s="21">
        <f t="shared" si="0"/>
        <v>2.6361786870683974</v>
      </c>
      <c r="D19" s="16">
        <v>6.7328732536610003</v>
      </c>
      <c r="E19" s="19">
        <v>0.96899999999999997</v>
      </c>
      <c r="F19" s="62">
        <v>2.6276540933373105</v>
      </c>
      <c r="G19" s="25">
        <v>7.1</v>
      </c>
      <c r="H19" s="81"/>
      <c r="I19" s="65">
        <v>1357910</v>
      </c>
      <c r="J19" s="8">
        <v>1366430</v>
      </c>
      <c r="K19" s="4">
        <v>920</v>
      </c>
      <c r="L19" s="45">
        <f t="shared" si="1"/>
        <v>2.6361786870683974</v>
      </c>
      <c r="M19" s="38">
        <v>969</v>
      </c>
      <c r="N19" s="45">
        <f t="shared" si="2"/>
        <v>2.6276540933373105</v>
      </c>
    </row>
    <row r="20" spans="1:14" ht="15.75" thickBot="1" x14ac:dyDescent="0.3">
      <c r="A20" s="11" t="s">
        <v>37</v>
      </c>
      <c r="B20" s="19">
        <v>2.9169999999999998</v>
      </c>
      <c r="C20" s="21">
        <f t="shared" si="0"/>
        <v>8.3584056849766455</v>
      </c>
      <c r="D20" s="16">
        <v>8.349608438571698</v>
      </c>
      <c r="E20" s="19">
        <v>3.052</v>
      </c>
      <c r="F20" s="62">
        <v>8.2761612929468242</v>
      </c>
      <c r="G20" s="25">
        <v>8.8000000000000007</v>
      </c>
      <c r="H20" s="81"/>
      <c r="I20" s="65">
        <v>3487973</v>
      </c>
      <c r="J20" s="8">
        <v>3493577</v>
      </c>
      <c r="K20" s="4">
        <v>2917</v>
      </c>
      <c r="L20" s="45">
        <f t="shared" si="1"/>
        <v>8.3584056849766473</v>
      </c>
      <c r="M20" s="38">
        <v>3052</v>
      </c>
      <c r="N20" s="45">
        <f t="shared" si="2"/>
        <v>8.2761612929468242</v>
      </c>
    </row>
    <row r="21" spans="1:14" ht="15.75" thickBot="1" x14ac:dyDescent="0.3">
      <c r="A21" s="13" t="s">
        <v>38</v>
      </c>
      <c r="B21" s="20">
        <v>1.6559999999999999</v>
      </c>
      <c r="C21" s="21">
        <f t="shared" si="0"/>
        <v>4.7451216367231144</v>
      </c>
      <c r="D21" s="17">
        <v>10.093732742825587</v>
      </c>
      <c r="E21" s="20">
        <v>1.7410000000000001</v>
      </c>
      <c r="F21" s="62">
        <v>4.7210998725492859</v>
      </c>
      <c r="G21" s="26">
        <v>10.7</v>
      </c>
      <c r="H21" s="81"/>
      <c r="I21" s="65">
        <v>1631784</v>
      </c>
      <c r="J21" s="8">
        <v>1640622</v>
      </c>
      <c r="K21" s="4">
        <v>1656</v>
      </c>
      <c r="L21" s="45">
        <f t="shared" si="1"/>
        <v>4.7451216367231153</v>
      </c>
      <c r="M21" s="39">
        <v>1741</v>
      </c>
      <c r="N21" s="45">
        <f t="shared" si="2"/>
        <v>4.7210998725492859</v>
      </c>
    </row>
  </sheetData>
  <mergeCells count="3">
    <mergeCell ref="A3:A4"/>
    <mergeCell ref="B3:D3"/>
    <mergeCell ref="E3:G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21"/>
  <sheetViews>
    <sheetView zoomScale="140" zoomScaleNormal="140" workbookViewId="0">
      <selection sqref="A1:XFD1048576"/>
    </sheetView>
  </sheetViews>
  <sheetFormatPr defaultColWidth="9.140625" defaultRowHeight="15" x14ac:dyDescent="0.25"/>
  <cols>
    <col min="1" max="1" width="17.28515625" style="4" customWidth="1"/>
    <col min="2" max="2" width="10.7109375" style="4" customWidth="1"/>
    <col min="3" max="3" width="10.28515625" style="4" customWidth="1"/>
    <col min="4" max="4" width="12.7109375" style="4" customWidth="1"/>
    <col min="5" max="16384" width="9.140625" style="4"/>
  </cols>
  <sheetData>
    <row r="1" spans="1:4" x14ac:dyDescent="0.25">
      <c r="A1" s="4" t="s">
        <v>61</v>
      </c>
    </row>
    <row r="2" spans="1:4" x14ac:dyDescent="0.25">
      <c r="A2" s="4" t="s">
        <v>39</v>
      </c>
    </row>
    <row r="3" spans="1:4" ht="15.75" thickBot="1" x14ac:dyDescent="0.3">
      <c r="A3" s="50" t="s">
        <v>43</v>
      </c>
      <c r="B3" s="56">
        <v>2023</v>
      </c>
      <c r="C3" s="57"/>
    </row>
    <row r="4" spans="1:4" ht="39" thickBot="1" x14ac:dyDescent="0.3">
      <c r="A4" s="51"/>
      <c r="B4" s="23" t="s">
        <v>40</v>
      </c>
      <c r="C4" s="58" t="s">
        <v>44</v>
      </c>
      <c r="D4" s="4" t="s">
        <v>51</v>
      </c>
    </row>
    <row r="5" spans="1:4" ht="16.5" thickTop="1" thickBot="1" x14ac:dyDescent="0.3">
      <c r="A5" s="24" t="s">
        <v>45</v>
      </c>
      <c r="B5" s="18">
        <v>36.877000000000002</v>
      </c>
      <c r="C5" s="41">
        <v>9.8000000000000007</v>
      </c>
      <c r="D5" s="61">
        <v>37636508</v>
      </c>
    </row>
    <row r="6" spans="1:4" ht="15.75" thickBot="1" x14ac:dyDescent="0.3">
      <c r="A6" s="11" t="s">
        <v>24</v>
      </c>
      <c r="B6" s="19">
        <v>3.085</v>
      </c>
      <c r="C6" s="25">
        <v>10.7</v>
      </c>
      <c r="D6" s="64">
        <v>2879271</v>
      </c>
    </row>
    <row r="7" spans="1:4" ht="15.75" thickBot="1" x14ac:dyDescent="0.3">
      <c r="A7" s="11" t="s">
        <v>42</v>
      </c>
      <c r="B7" s="19">
        <v>1.2789999999999999</v>
      </c>
      <c r="C7" s="25">
        <v>6.4</v>
      </c>
      <c r="D7" s="65">
        <v>1996003</v>
      </c>
    </row>
    <row r="8" spans="1:4" ht="15.75" thickBot="1" x14ac:dyDescent="0.3">
      <c r="A8" s="11" t="s">
        <v>25</v>
      </c>
      <c r="B8" s="19">
        <v>2.129</v>
      </c>
      <c r="C8" s="25">
        <v>10.6</v>
      </c>
      <c r="D8" s="65">
        <v>2011047</v>
      </c>
    </row>
    <row r="9" spans="1:4" ht="15.75" thickBot="1" x14ac:dyDescent="0.3">
      <c r="A9" s="11" t="s">
        <v>26</v>
      </c>
      <c r="B9" s="19">
        <v>0.77100000000000002</v>
      </c>
      <c r="C9" s="25">
        <v>7.9</v>
      </c>
      <c r="D9" s="65">
        <v>975023</v>
      </c>
    </row>
    <row r="10" spans="1:4" ht="15.75" thickBot="1" x14ac:dyDescent="0.3">
      <c r="A10" s="11" t="s">
        <v>27</v>
      </c>
      <c r="B10" s="19">
        <v>2.734</v>
      </c>
      <c r="C10" s="25">
        <v>11.6</v>
      </c>
      <c r="D10" s="65">
        <v>2362519</v>
      </c>
    </row>
    <row r="11" spans="1:4" ht="15.75" thickBot="1" x14ac:dyDescent="0.3">
      <c r="A11" s="11" t="s">
        <v>28</v>
      </c>
      <c r="B11" s="19">
        <v>3.35</v>
      </c>
      <c r="C11" s="25">
        <v>9.8000000000000007</v>
      </c>
      <c r="D11" s="65">
        <v>3429632</v>
      </c>
    </row>
    <row r="12" spans="1:4" ht="15.75" thickBot="1" x14ac:dyDescent="0.3">
      <c r="A12" s="11" t="s">
        <v>29</v>
      </c>
      <c r="B12" s="19">
        <v>6.7370000000000001</v>
      </c>
      <c r="C12" s="25">
        <v>12.2</v>
      </c>
      <c r="D12" s="65">
        <v>5510527</v>
      </c>
    </row>
    <row r="13" spans="1:4" ht="15.75" thickBot="1" x14ac:dyDescent="0.3">
      <c r="A13" s="11" t="s">
        <v>30</v>
      </c>
      <c r="B13" s="19">
        <v>0.67400000000000004</v>
      </c>
      <c r="C13" s="25">
        <v>7.2</v>
      </c>
      <c r="D13" s="65">
        <v>936725</v>
      </c>
    </row>
    <row r="14" spans="1:4" ht="15.75" thickBot="1" x14ac:dyDescent="0.3">
      <c r="A14" s="11" t="s">
        <v>31</v>
      </c>
      <c r="B14" s="19">
        <v>1.6910000000000001</v>
      </c>
      <c r="C14" s="25">
        <v>8.1999999999999993</v>
      </c>
      <c r="D14" s="65">
        <v>2071676</v>
      </c>
    </row>
    <row r="15" spans="1:4" ht="15.75" thickBot="1" x14ac:dyDescent="0.3">
      <c r="A15" s="11" t="s">
        <v>32</v>
      </c>
      <c r="B15" s="19">
        <v>1.26</v>
      </c>
      <c r="C15" s="25">
        <v>11.1</v>
      </c>
      <c r="D15" s="65">
        <v>1138216</v>
      </c>
    </row>
    <row r="16" spans="1:4" ht="15.75" thickBot="1" x14ac:dyDescent="0.3">
      <c r="A16" s="11" t="s">
        <v>33</v>
      </c>
      <c r="B16" s="19">
        <v>2.383</v>
      </c>
      <c r="C16" s="25">
        <v>10.1</v>
      </c>
      <c r="D16" s="65">
        <v>2359573</v>
      </c>
    </row>
    <row r="17" spans="1:4" ht="15.75" thickBot="1" x14ac:dyDescent="0.3">
      <c r="A17" s="11" t="s">
        <v>34</v>
      </c>
      <c r="B17" s="19">
        <v>4</v>
      </c>
      <c r="C17" s="25">
        <v>9.3000000000000007</v>
      </c>
      <c r="D17" s="65">
        <v>4320130</v>
      </c>
    </row>
    <row r="18" spans="1:4" ht="15.75" thickBot="1" x14ac:dyDescent="0.3">
      <c r="A18" s="11" t="s">
        <v>35</v>
      </c>
      <c r="B18" s="19">
        <v>1.022</v>
      </c>
      <c r="C18" s="25">
        <v>8.6999999999999993</v>
      </c>
      <c r="D18" s="65">
        <v>1168499</v>
      </c>
    </row>
    <row r="19" spans="1:4" ht="15.75" thickBot="1" x14ac:dyDescent="0.3">
      <c r="A19" s="11" t="s">
        <v>36</v>
      </c>
      <c r="B19" s="19">
        <v>0.96899999999999997</v>
      </c>
      <c r="C19" s="25">
        <v>7.1</v>
      </c>
      <c r="D19" s="65">
        <v>1357910</v>
      </c>
    </row>
    <row r="20" spans="1:4" ht="15.75" thickBot="1" x14ac:dyDescent="0.3">
      <c r="A20" s="11" t="s">
        <v>37</v>
      </c>
      <c r="B20" s="19">
        <v>3.052</v>
      </c>
      <c r="C20" s="25">
        <v>8.8000000000000007</v>
      </c>
      <c r="D20" s="65">
        <v>3487973</v>
      </c>
    </row>
    <row r="21" spans="1:4" x14ac:dyDescent="0.25">
      <c r="A21" s="13" t="s">
        <v>38</v>
      </c>
      <c r="B21" s="20">
        <v>1.7410000000000001</v>
      </c>
      <c r="C21" s="26">
        <v>10.7</v>
      </c>
      <c r="D21" s="65">
        <v>1631784</v>
      </c>
    </row>
  </sheetData>
  <mergeCells count="2">
    <mergeCell ref="B3:C3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C191-82C9-42A2-AD7A-54BD74FE1738}">
  <sheetPr>
    <tabColor rgb="FF00B0F0"/>
  </sheetPr>
  <dimension ref="A1:J15"/>
  <sheetViews>
    <sheetView zoomScaleNormal="100" workbookViewId="0">
      <selection activeCell="D17" sqref="D17"/>
    </sheetView>
  </sheetViews>
  <sheetFormatPr defaultColWidth="9.140625" defaultRowHeight="15" x14ac:dyDescent="0.25"/>
  <cols>
    <col min="1" max="1" width="8.5703125" style="42" customWidth="1"/>
    <col min="2" max="7" width="11" style="42" customWidth="1"/>
    <col min="8" max="8" width="10.7109375" style="42" customWidth="1"/>
    <col min="9" max="9" width="11" style="42" customWidth="1"/>
    <col min="10" max="16384" width="9.140625" style="42"/>
  </cols>
  <sheetData>
    <row r="1" spans="1:10" x14ac:dyDescent="0.25">
      <c r="A1" s="42" t="s">
        <v>78</v>
      </c>
    </row>
    <row r="2" spans="1:10" x14ac:dyDescent="0.25">
      <c r="A2" s="42" t="s">
        <v>39</v>
      </c>
      <c r="C2" s="76"/>
      <c r="G2" s="76"/>
    </row>
    <row r="3" spans="1:10" x14ac:dyDescent="0.25">
      <c r="B3" s="77" t="s">
        <v>68</v>
      </c>
      <c r="C3" s="77" t="s">
        <v>69</v>
      </c>
      <c r="D3" s="77" t="s">
        <v>70</v>
      </c>
      <c r="E3" s="77" t="s">
        <v>71</v>
      </c>
      <c r="F3" s="77" t="s">
        <v>72</v>
      </c>
      <c r="G3" s="77" t="s">
        <v>73</v>
      </c>
      <c r="H3" s="77" t="s">
        <v>74</v>
      </c>
    </row>
    <row r="4" spans="1:10" x14ac:dyDescent="0.25">
      <c r="A4" s="42">
        <v>2022</v>
      </c>
      <c r="B4" s="78">
        <v>17.3</v>
      </c>
      <c r="C4" s="78">
        <v>33.4</v>
      </c>
      <c r="D4" s="78">
        <v>27.7</v>
      </c>
      <c r="E4" s="78">
        <v>16.5</v>
      </c>
      <c r="F4" s="78">
        <v>5</v>
      </c>
      <c r="G4" s="78">
        <v>0.1</v>
      </c>
      <c r="H4" s="78">
        <v>0</v>
      </c>
      <c r="I4" s="42" t="s">
        <v>75</v>
      </c>
    </row>
    <row r="5" spans="1:10" x14ac:dyDescent="0.25">
      <c r="A5" s="42">
        <v>2022</v>
      </c>
      <c r="B5" s="78">
        <v>8.9</v>
      </c>
      <c r="C5" s="78">
        <v>10.6</v>
      </c>
      <c r="D5" s="78">
        <v>21</v>
      </c>
      <c r="E5" s="78">
        <v>40</v>
      </c>
      <c r="F5" s="78">
        <v>17.899999999999999</v>
      </c>
      <c r="G5" s="78">
        <v>1.5</v>
      </c>
      <c r="H5" s="78">
        <v>0</v>
      </c>
      <c r="I5" s="42" t="s">
        <v>76</v>
      </c>
    </row>
    <row r="6" spans="1:10" x14ac:dyDescent="0.25">
      <c r="A6" s="42">
        <v>2023</v>
      </c>
      <c r="B6" s="78">
        <v>16.899999999999999</v>
      </c>
      <c r="C6" s="78">
        <v>33.4</v>
      </c>
      <c r="D6" s="78">
        <v>27.9</v>
      </c>
      <c r="E6" s="78">
        <v>16.2</v>
      </c>
      <c r="F6" s="78">
        <v>5.3</v>
      </c>
      <c r="G6" s="78">
        <v>0.2</v>
      </c>
      <c r="H6" s="78">
        <v>0</v>
      </c>
      <c r="I6" s="42" t="s">
        <v>75</v>
      </c>
    </row>
    <row r="7" spans="1:10" x14ac:dyDescent="0.25">
      <c r="A7" s="42">
        <v>2023</v>
      </c>
      <c r="B7" s="78">
        <v>9.3000000000000007</v>
      </c>
      <c r="C7" s="78">
        <v>11.2</v>
      </c>
      <c r="D7" s="78">
        <v>18.8</v>
      </c>
      <c r="E7" s="78">
        <v>39.799999999999997</v>
      </c>
      <c r="F7" s="78">
        <v>19</v>
      </c>
      <c r="G7" s="78">
        <v>1.8</v>
      </c>
      <c r="H7" s="78">
        <v>0</v>
      </c>
      <c r="I7" s="42" t="s">
        <v>76</v>
      </c>
      <c r="J7" s="78"/>
    </row>
    <row r="8" spans="1:10" x14ac:dyDescent="0.25">
      <c r="J8" s="78"/>
    </row>
    <row r="11" spans="1:10" x14ac:dyDescent="0.25">
      <c r="J11" s="78"/>
    </row>
    <row r="12" spans="1:10" x14ac:dyDescent="0.25">
      <c r="J12" s="78"/>
    </row>
    <row r="13" spans="1:10" x14ac:dyDescent="0.25">
      <c r="J13" s="78"/>
    </row>
    <row r="14" spans="1:10" x14ac:dyDescent="0.25">
      <c r="J14" s="78"/>
    </row>
    <row r="15" spans="1:10" x14ac:dyDescent="0.25">
      <c r="J15" s="7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N21"/>
  <sheetViews>
    <sheetView zoomScale="130" zoomScaleNormal="130" workbookViewId="0">
      <selection sqref="A1:XFD1048576"/>
    </sheetView>
  </sheetViews>
  <sheetFormatPr defaultColWidth="9.140625" defaultRowHeight="15" x14ac:dyDescent="0.25"/>
  <cols>
    <col min="1" max="1" width="18.42578125" style="4" customWidth="1"/>
    <col min="2" max="3" width="9.140625" style="4"/>
    <col min="4" max="4" width="12" style="4" customWidth="1"/>
    <col min="5" max="5" width="10.42578125" style="4" bestFit="1" customWidth="1"/>
    <col min="6" max="6" width="9.140625" style="4"/>
    <col min="7" max="8" width="12.7109375" style="4" customWidth="1"/>
    <col min="9" max="16384" width="9.140625" style="4"/>
  </cols>
  <sheetData>
    <row r="1" spans="1:14" x14ac:dyDescent="0.25">
      <c r="A1" s="82" t="s">
        <v>63</v>
      </c>
      <c r="B1" s="83"/>
      <c r="C1" s="83"/>
      <c r="D1" s="83"/>
      <c r="E1" s="83"/>
      <c r="F1" s="83"/>
      <c r="G1" s="5"/>
      <c r="H1" s="5"/>
    </row>
    <row r="2" spans="1:14" x14ac:dyDescent="0.25">
      <c r="A2" s="4" t="s">
        <v>39</v>
      </c>
      <c r="B2" s="5"/>
      <c r="C2" s="5"/>
      <c r="D2" s="5"/>
      <c r="E2" s="5"/>
      <c r="F2" s="5"/>
      <c r="G2" s="5"/>
      <c r="H2" s="5"/>
    </row>
    <row r="3" spans="1:14" ht="15.75" thickBot="1" x14ac:dyDescent="0.3">
      <c r="A3" s="50" t="s">
        <v>43</v>
      </c>
      <c r="B3" s="52">
        <v>2022</v>
      </c>
      <c r="C3" s="53"/>
      <c r="D3" s="54"/>
      <c r="E3" s="56">
        <v>2023</v>
      </c>
      <c r="F3" s="57"/>
      <c r="G3" s="57"/>
      <c r="H3" s="10"/>
    </row>
    <row r="4" spans="1:14" ht="39" thickBot="1" x14ac:dyDescent="0.3">
      <c r="A4" s="51"/>
      <c r="B4" s="23" t="s">
        <v>40</v>
      </c>
      <c r="C4" s="23" t="s">
        <v>41</v>
      </c>
      <c r="D4" s="23" t="s">
        <v>44</v>
      </c>
      <c r="E4" s="23" t="s">
        <v>40</v>
      </c>
      <c r="F4" s="23" t="s">
        <v>41</v>
      </c>
      <c r="G4" s="58" t="s">
        <v>44</v>
      </c>
      <c r="H4" s="10" t="s">
        <v>50</v>
      </c>
      <c r="I4" s="4" t="s">
        <v>66</v>
      </c>
      <c r="J4" s="5">
        <v>2022</v>
      </c>
    </row>
    <row r="5" spans="1:14" ht="16.5" thickTop="1" thickBot="1" x14ac:dyDescent="0.3">
      <c r="A5" s="24" t="s">
        <v>45</v>
      </c>
      <c r="B5" s="18">
        <v>214.352</v>
      </c>
      <c r="C5" s="41">
        <f>B5/B$5*100</f>
        <v>100</v>
      </c>
      <c r="D5" s="41">
        <v>56.8</v>
      </c>
      <c r="E5" s="18">
        <v>216.08600000000001</v>
      </c>
      <c r="F5" s="21">
        <v>100</v>
      </c>
      <c r="G5" s="41">
        <v>57.4</v>
      </c>
      <c r="H5" s="80"/>
      <c r="I5" s="61">
        <v>37636508</v>
      </c>
      <c r="J5" s="6">
        <v>37766327</v>
      </c>
      <c r="K5" s="4">
        <v>214352</v>
      </c>
      <c r="L5" s="45">
        <f>K5/K$5*100</f>
        <v>100</v>
      </c>
      <c r="M5" s="37">
        <v>216086</v>
      </c>
      <c r="N5" s="45">
        <f>M5/M$5*100</f>
        <v>100</v>
      </c>
    </row>
    <row r="6" spans="1:14" ht="15.75" thickBot="1" x14ac:dyDescent="0.3">
      <c r="A6" s="11" t="s">
        <v>24</v>
      </c>
      <c r="B6" s="19">
        <v>16.123000000000001</v>
      </c>
      <c r="C6" s="41">
        <f t="shared" ref="C6:C21" si="0">B6/B$5*100</f>
        <v>7.5217399417780104</v>
      </c>
      <c r="D6" s="25">
        <v>55.8</v>
      </c>
      <c r="E6" s="19">
        <v>16.033000000000001</v>
      </c>
      <c r="F6" s="62">
        <v>7.4197310330146333</v>
      </c>
      <c r="G6" s="25">
        <v>55.7</v>
      </c>
      <c r="H6" s="81"/>
      <c r="I6" s="64">
        <v>2879271</v>
      </c>
      <c r="J6" s="7">
        <v>2888033</v>
      </c>
      <c r="K6" s="4">
        <v>16123</v>
      </c>
      <c r="L6" s="45">
        <f t="shared" ref="L6:L21" si="1">K6/K$5*100</f>
        <v>7.5217399417780104</v>
      </c>
      <c r="M6" s="38">
        <v>16033</v>
      </c>
      <c r="N6" s="45">
        <f t="shared" ref="N6:N21" si="2">M6/M$5*100</f>
        <v>7.4197310330146333</v>
      </c>
    </row>
    <row r="7" spans="1:14" ht="15.75" thickBot="1" x14ac:dyDescent="0.3">
      <c r="A7" s="11" t="s">
        <v>42</v>
      </c>
      <c r="B7" s="19">
        <v>10.914</v>
      </c>
      <c r="C7" s="41">
        <f t="shared" si="0"/>
        <v>5.091624990669553</v>
      </c>
      <c r="D7" s="25">
        <v>54.4</v>
      </c>
      <c r="E7" s="19">
        <v>10.999000000000001</v>
      </c>
      <c r="F7" s="62">
        <v>5.0901030145405066</v>
      </c>
      <c r="G7" s="25">
        <v>55.1</v>
      </c>
      <c r="H7" s="81"/>
      <c r="I7" s="65">
        <v>1996003</v>
      </c>
      <c r="J7" s="8">
        <v>2006876</v>
      </c>
      <c r="K7" s="4">
        <v>10914</v>
      </c>
      <c r="L7" s="45">
        <f t="shared" si="1"/>
        <v>5.091624990669553</v>
      </c>
      <c r="M7" s="38">
        <v>10999</v>
      </c>
      <c r="N7" s="45">
        <f t="shared" si="2"/>
        <v>5.0901030145405066</v>
      </c>
    </row>
    <row r="8" spans="1:14" ht="15.75" thickBot="1" x14ac:dyDescent="0.3">
      <c r="A8" s="11" t="s">
        <v>25</v>
      </c>
      <c r="B8" s="19">
        <v>13.708</v>
      </c>
      <c r="C8" s="41">
        <f t="shared" si="0"/>
        <v>6.3950884526386504</v>
      </c>
      <c r="D8" s="25">
        <v>67.7</v>
      </c>
      <c r="E8" s="19">
        <v>13.757</v>
      </c>
      <c r="F8" s="62">
        <v>6.3664466925205705</v>
      </c>
      <c r="G8" s="25">
        <v>68.400000000000006</v>
      </c>
      <c r="H8" s="81"/>
      <c r="I8" s="65">
        <v>2011047</v>
      </c>
      <c r="J8" s="8">
        <v>2024637</v>
      </c>
      <c r="K8" s="4">
        <v>13708</v>
      </c>
      <c r="L8" s="45">
        <f t="shared" si="1"/>
        <v>6.3950884526386504</v>
      </c>
      <c r="M8" s="38">
        <v>13757</v>
      </c>
      <c r="N8" s="45">
        <f t="shared" si="2"/>
        <v>6.3664466925205705</v>
      </c>
    </row>
    <row r="9" spans="1:14" ht="15.75" thickBot="1" x14ac:dyDescent="0.3">
      <c r="A9" s="11" t="s">
        <v>26</v>
      </c>
      <c r="B9" s="19">
        <v>4.5620000000000003</v>
      </c>
      <c r="C9" s="41">
        <f t="shared" si="0"/>
        <v>2.1282749869373738</v>
      </c>
      <c r="D9" s="25">
        <v>46.6</v>
      </c>
      <c r="E9" s="19">
        <v>4.5830000000000002</v>
      </c>
      <c r="F9" s="62">
        <v>2.1209148209509179</v>
      </c>
      <c r="G9" s="25">
        <v>47</v>
      </c>
      <c r="H9" s="81"/>
      <c r="I9" s="65">
        <v>975023</v>
      </c>
      <c r="J9" s="8">
        <v>979976</v>
      </c>
      <c r="K9" s="4">
        <v>4562</v>
      </c>
      <c r="L9" s="45">
        <f t="shared" si="1"/>
        <v>2.1282749869373738</v>
      </c>
      <c r="M9" s="38">
        <v>4583</v>
      </c>
      <c r="N9" s="45">
        <f t="shared" si="2"/>
        <v>2.1209148209509179</v>
      </c>
    </row>
    <row r="10" spans="1:14" ht="15.75" thickBot="1" x14ac:dyDescent="0.3">
      <c r="A10" s="11" t="s">
        <v>27</v>
      </c>
      <c r="B10" s="19">
        <v>12.945</v>
      </c>
      <c r="C10" s="41">
        <f t="shared" si="0"/>
        <v>6.039131895200418</v>
      </c>
      <c r="D10" s="25">
        <v>54.4</v>
      </c>
      <c r="E10" s="19">
        <v>13.114000000000001</v>
      </c>
      <c r="F10" s="62">
        <v>6.0688799829697437</v>
      </c>
      <c r="G10" s="25">
        <v>55.5</v>
      </c>
      <c r="H10" s="81"/>
      <c r="I10" s="65">
        <v>2362519</v>
      </c>
      <c r="J10" s="8">
        <v>2378483</v>
      </c>
      <c r="K10" s="4">
        <v>12945</v>
      </c>
      <c r="L10" s="45">
        <f t="shared" si="1"/>
        <v>6.039131895200418</v>
      </c>
      <c r="M10" s="38">
        <v>13114</v>
      </c>
      <c r="N10" s="45">
        <f t="shared" si="2"/>
        <v>6.0688799829697437</v>
      </c>
    </row>
    <row r="11" spans="1:14" ht="15.75" thickBot="1" x14ac:dyDescent="0.3">
      <c r="A11" s="11" t="s">
        <v>28</v>
      </c>
      <c r="B11" s="19">
        <v>19.41</v>
      </c>
      <c r="C11" s="41">
        <f t="shared" si="0"/>
        <v>9.0551989251324922</v>
      </c>
      <c r="D11" s="25">
        <v>56.6</v>
      </c>
      <c r="E11" s="19">
        <v>19.588999999999999</v>
      </c>
      <c r="F11" s="62">
        <v>9.0653721203594877</v>
      </c>
      <c r="G11" s="25">
        <v>57.1</v>
      </c>
      <c r="H11" s="81"/>
      <c r="I11" s="65">
        <v>3429632</v>
      </c>
      <c r="J11" s="8">
        <v>3429014</v>
      </c>
      <c r="K11" s="4">
        <v>19410</v>
      </c>
      <c r="L11" s="45">
        <f t="shared" si="1"/>
        <v>9.0551989251324922</v>
      </c>
      <c r="M11" s="38">
        <v>19589</v>
      </c>
      <c r="N11" s="45">
        <f t="shared" si="2"/>
        <v>9.0653721203594877</v>
      </c>
    </row>
    <row r="12" spans="1:14" ht="15.75" thickBot="1" x14ac:dyDescent="0.3">
      <c r="A12" s="11" t="s">
        <v>29</v>
      </c>
      <c r="B12" s="19">
        <v>34.122</v>
      </c>
      <c r="C12" s="41">
        <f t="shared" si="0"/>
        <v>15.918675822945435</v>
      </c>
      <c r="D12" s="25">
        <v>61.9</v>
      </c>
      <c r="E12" s="19">
        <v>35.027000000000001</v>
      </c>
      <c r="F12" s="62">
        <v>16.209749821830197</v>
      </c>
      <c r="G12" s="25">
        <v>63.6</v>
      </c>
      <c r="H12" s="81"/>
      <c r="I12" s="65">
        <v>5510527</v>
      </c>
      <c r="J12" s="8">
        <v>5510612</v>
      </c>
      <c r="K12" s="4">
        <v>34122</v>
      </c>
      <c r="L12" s="45">
        <f t="shared" si="1"/>
        <v>15.918675822945435</v>
      </c>
      <c r="M12" s="38">
        <v>35027</v>
      </c>
      <c r="N12" s="45">
        <f t="shared" si="2"/>
        <v>16.209749821830197</v>
      </c>
    </row>
    <row r="13" spans="1:14" ht="15.75" thickBot="1" x14ac:dyDescent="0.3">
      <c r="A13" s="11" t="s">
        <v>30</v>
      </c>
      <c r="B13" s="19">
        <v>5.2130000000000001</v>
      </c>
      <c r="C13" s="41">
        <f t="shared" si="0"/>
        <v>2.4319810405314621</v>
      </c>
      <c r="D13" s="25">
        <v>55.3</v>
      </c>
      <c r="E13" s="19">
        <v>5.1909999999999998</v>
      </c>
      <c r="F13" s="62">
        <v>2.4022842757050435</v>
      </c>
      <c r="G13" s="25">
        <v>55.4</v>
      </c>
      <c r="H13" s="81"/>
      <c r="I13" s="65">
        <v>936725</v>
      </c>
      <c r="J13" s="8">
        <v>942441</v>
      </c>
      <c r="K13" s="4">
        <v>5213</v>
      </c>
      <c r="L13" s="45">
        <f t="shared" si="1"/>
        <v>2.4319810405314621</v>
      </c>
      <c r="M13" s="38">
        <v>5191</v>
      </c>
      <c r="N13" s="45">
        <f t="shared" si="2"/>
        <v>2.4022842757050435</v>
      </c>
    </row>
    <row r="14" spans="1:14" ht="15.75" thickBot="1" x14ac:dyDescent="0.3">
      <c r="A14" s="11" t="s">
        <v>31</v>
      </c>
      <c r="B14" s="19">
        <v>13.419</v>
      </c>
      <c r="C14" s="41">
        <f t="shared" si="0"/>
        <v>6.260263491826529</v>
      </c>
      <c r="D14" s="25">
        <v>64.5</v>
      </c>
      <c r="E14" s="19">
        <v>13.465999999999999</v>
      </c>
      <c r="F14" s="62">
        <v>6.2317780883537104</v>
      </c>
      <c r="G14" s="25">
        <v>65</v>
      </c>
      <c r="H14" s="81"/>
      <c r="I14" s="65">
        <v>2071676</v>
      </c>
      <c r="J14" s="8">
        <v>2079098</v>
      </c>
      <c r="K14" s="4">
        <v>13419</v>
      </c>
      <c r="L14" s="45">
        <f t="shared" si="1"/>
        <v>6.260263491826529</v>
      </c>
      <c r="M14" s="38">
        <v>13466</v>
      </c>
      <c r="N14" s="45">
        <f t="shared" si="2"/>
        <v>6.2317780883537104</v>
      </c>
    </row>
    <row r="15" spans="1:14" ht="15.75" thickBot="1" x14ac:dyDescent="0.3">
      <c r="A15" s="11" t="s">
        <v>32</v>
      </c>
      <c r="B15" s="19">
        <v>7.0439999999999996</v>
      </c>
      <c r="C15" s="41">
        <f t="shared" si="0"/>
        <v>3.2861834739120694</v>
      </c>
      <c r="D15" s="25">
        <v>61.6</v>
      </c>
      <c r="E15" s="19">
        <v>7.1920000000000002</v>
      </c>
      <c r="F15" s="62">
        <v>3.3283044713678813</v>
      </c>
      <c r="G15" s="25">
        <v>63.2</v>
      </c>
      <c r="H15" s="81"/>
      <c r="I15" s="65">
        <v>1138216</v>
      </c>
      <c r="J15" s="8">
        <v>1143355</v>
      </c>
      <c r="K15" s="4">
        <v>7044</v>
      </c>
      <c r="L15" s="45">
        <f t="shared" si="1"/>
        <v>3.2861834739120703</v>
      </c>
      <c r="M15" s="38">
        <v>7192</v>
      </c>
      <c r="N15" s="45">
        <f t="shared" si="2"/>
        <v>3.3283044713678813</v>
      </c>
    </row>
    <row r="16" spans="1:14" ht="15.75" thickBot="1" x14ac:dyDescent="0.3">
      <c r="A16" s="11" t="s">
        <v>33</v>
      </c>
      <c r="B16" s="19">
        <v>10.814</v>
      </c>
      <c r="C16" s="41">
        <f t="shared" si="0"/>
        <v>5.0449727550944239</v>
      </c>
      <c r="D16" s="25">
        <v>45.9</v>
      </c>
      <c r="E16" s="19">
        <v>10.816000000000001</v>
      </c>
      <c r="F16" s="62">
        <v>5.0054145108891825</v>
      </c>
      <c r="G16" s="25">
        <v>45.8</v>
      </c>
      <c r="H16" s="81"/>
      <c r="I16" s="65">
        <v>2359573</v>
      </c>
      <c r="J16" s="8">
        <v>2358307</v>
      </c>
      <c r="K16" s="4">
        <v>10814</v>
      </c>
      <c r="L16" s="45">
        <f t="shared" si="1"/>
        <v>5.0449727550944239</v>
      </c>
      <c r="M16" s="38">
        <v>10816</v>
      </c>
      <c r="N16" s="45">
        <f t="shared" si="2"/>
        <v>5.0054145108891825</v>
      </c>
    </row>
    <row r="17" spans="1:14" ht="15.75" thickBot="1" x14ac:dyDescent="0.3">
      <c r="A17" s="11" t="s">
        <v>34</v>
      </c>
      <c r="B17" s="19">
        <v>26.248000000000001</v>
      </c>
      <c r="C17" s="41">
        <f t="shared" si="0"/>
        <v>12.245278793759798</v>
      </c>
      <c r="D17" s="25">
        <v>60.4</v>
      </c>
      <c r="E17" s="19">
        <v>26.331</v>
      </c>
      <c r="F17" s="62">
        <v>12.185426172912637</v>
      </c>
      <c r="G17" s="25">
        <v>60.9</v>
      </c>
      <c r="H17" s="81"/>
      <c r="I17" s="65">
        <v>4320130</v>
      </c>
      <c r="J17" s="8">
        <v>4346702</v>
      </c>
      <c r="K17" s="4">
        <v>26248</v>
      </c>
      <c r="L17" s="45">
        <f t="shared" si="1"/>
        <v>12.245278793759796</v>
      </c>
      <c r="M17" s="38">
        <v>26331</v>
      </c>
      <c r="N17" s="45">
        <f t="shared" si="2"/>
        <v>12.185426172912637</v>
      </c>
    </row>
    <row r="18" spans="1:14" ht="15.75" thickBot="1" x14ac:dyDescent="0.3">
      <c r="A18" s="11" t="s">
        <v>35</v>
      </c>
      <c r="B18" s="19">
        <v>8.1280000000000001</v>
      </c>
      <c r="C18" s="41">
        <f t="shared" si="0"/>
        <v>3.7918937075464654</v>
      </c>
      <c r="D18" s="25">
        <v>69</v>
      </c>
      <c r="E18" s="19">
        <v>8.2029999999999994</v>
      </c>
      <c r="F18" s="62">
        <v>3.7961737456383107</v>
      </c>
      <c r="G18" s="25">
        <v>70.2</v>
      </c>
      <c r="H18" s="81"/>
      <c r="I18" s="65">
        <v>1168499</v>
      </c>
      <c r="J18" s="8">
        <v>1178164</v>
      </c>
      <c r="K18" s="4">
        <v>8128</v>
      </c>
      <c r="L18" s="45">
        <f t="shared" si="1"/>
        <v>3.7918937075464654</v>
      </c>
      <c r="M18" s="38">
        <v>8203</v>
      </c>
      <c r="N18" s="45">
        <f t="shared" si="2"/>
        <v>3.7961737456383107</v>
      </c>
    </row>
    <row r="19" spans="1:14" ht="15.75" thickBot="1" x14ac:dyDescent="0.3">
      <c r="A19" s="11" t="s">
        <v>36</v>
      </c>
      <c r="B19" s="19">
        <v>7.1529999999999996</v>
      </c>
      <c r="C19" s="41">
        <f t="shared" si="0"/>
        <v>3.3370344106889598</v>
      </c>
      <c r="D19" s="25">
        <v>52.3</v>
      </c>
      <c r="E19" s="19">
        <v>7.2030000000000003</v>
      </c>
      <c r="F19" s="62">
        <v>3.3333950371611305</v>
      </c>
      <c r="G19" s="25">
        <v>53</v>
      </c>
      <c r="H19" s="81"/>
      <c r="I19" s="65">
        <v>1357910</v>
      </c>
      <c r="J19" s="8">
        <v>1366430</v>
      </c>
      <c r="K19" s="4">
        <v>7153</v>
      </c>
      <c r="L19" s="45">
        <f t="shared" si="1"/>
        <v>3.3370344106889602</v>
      </c>
      <c r="M19" s="38">
        <v>7203</v>
      </c>
      <c r="N19" s="45">
        <f t="shared" si="2"/>
        <v>3.3333950371611305</v>
      </c>
    </row>
    <row r="20" spans="1:14" ht="15.75" thickBot="1" x14ac:dyDescent="0.3">
      <c r="A20" s="11" t="s">
        <v>37</v>
      </c>
      <c r="B20" s="19">
        <v>16.690000000000001</v>
      </c>
      <c r="C20" s="41">
        <f t="shared" si="0"/>
        <v>7.7862581174889911</v>
      </c>
      <c r="D20" s="25">
        <v>47.8</v>
      </c>
      <c r="E20" s="19">
        <v>16.728999999999999</v>
      </c>
      <c r="F20" s="62">
        <v>7.7418250141147507</v>
      </c>
      <c r="G20" s="25">
        <v>48</v>
      </c>
      <c r="H20" s="81"/>
      <c r="I20" s="65">
        <v>3487973</v>
      </c>
      <c r="J20" s="8">
        <v>3493577</v>
      </c>
      <c r="K20" s="4">
        <v>16690</v>
      </c>
      <c r="L20" s="45">
        <f t="shared" si="1"/>
        <v>7.7862581174889893</v>
      </c>
      <c r="M20" s="38">
        <v>16729</v>
      </c>
      <c r="N20" s="45">
        <f t="shared" si="2"/>
        <v>7.7418250141147507</v>
      </c>
    </row>
    <row r="21" spans="1:14" ht="15.75" thickBot="1" x14ac:dyDescent="0.3">
      <c r="A21" s="13" t="s">
        <v>38</v>
      </c>
      <c r="B21" s="20">
        <v>7.859</v>
      </c>
      <c r="C21" s="41">
        <f t="shared" si="0"/>
        <v>3.6663991938493692</v>
      </c>
      <c r="D21" s="26">
        <v>47.9</v>
      </c>
      <c r="E21" s="20">
        <v>7.8529999999999998</v>
      </c>
      <c r="F21" s="62">
        <v>3.6342011976712976</v>
      </c>
      <c r="G21" s="26">
        <v>48.1</v>
      </c>
      <c r="H21" s="81"/>
      <c r="I21" s="65">
        <v>1631784</v>
      </c>
      <c r="J21" s="8">
        <v>1640622</v>
      </c>
      <c r="K21" s="4">
        <v>7859</v>
      </c>
      <c r="L21" s="45">
        <f t="shared" si="1"/>
        <v>3.6663991938493692</v>
      </c>
      <c r="M21" s="39">
        <v>7853</v>
      </c>
      <c r="N21" s="45">
        <f t="shared" si="2"/>
        <v>3.6342011976712976</v>
      </c>
    </row>
  </sheetData>
  <mergeCells count="3">
    <mergeCell ref="A3:A4"/>
    <mergeCell ref="B3:D3"/>
    <mergeCell ref="E3:G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D21"/>
  <sheetViews>
    <sheetView workbookViewId="0">
      <selection activeCell="A32" sqref="A32"/>
    </sheetView>
  </sheetViews>
  <sheetFormatPr defaultColWidth="9.140625" defaultRowHeight="15" x14ac:dyDescent="0.25"/>
  <cols>
    <col min="1" max="1" width="17.28515625" style="4" customWidth="1"/>
    <col min="2" max="16384" width="9.140625" style="4"/>
  </cols>
  <sheetData>
    <row r="1" spans="1:4" x14ac:dyDescent="0.25">
      <c r="A1" s="4" t="s">
        <v>53</v>
      </c>
    </row>
    <row r="2" spans="1:4" x14ac:dyDescent="0.25">
      <c r="A2" s="4" t="s">
        <v>39</v>
      </c>
    </row>
    <row r="3" spans="1:4" ht="15.75" thickBot="1" x14ac:dyDescent="0.3">
      <c r="A3" s="50" t="s">
        <v>43</v>
      </c>
      <c r="B3" s="56">
        <v>2023</v>
      </c>
      <c r="C3" s="57"/>
    </row>
    <row r="4" spans="1:4" ht="39" thickBot="1" x14ac:dyDescent="0.3">
      <c r="A4" s="51"/>
      <c r="B4" s="23" t="s">
        <v>40</v>
      </c>
      <c r="C4" s="58" t="s">
        <v>44</v>
      </c>
      <c r="D4" s="4" t="s">
        <v>51</v>
      </c>
    </row>
    <row r="5" spans="1:4" ht="16.5" thickTop="1" thickBot="1" x14ac:dyDescent="0.3">
      <c r="A5" s="24" t="s">
        <v>45</v>
      </c>
      <c r="B5" s="18">
        <v>216.08600000000001</v>
      </c>
      <c r="C5" s="41">
        <v>57.4</v>
      </c>
      <c r="D5" s="61">
        <v>37636508</v>
      </c>
    </row>
    <row r="6" spans="1:4" ht="15.75" thickBot="1" x14ac:dyDescent="0.3">
      <c r="A6" s="11" t="s">
        <v>24</v>
      </c>
      <c r="B6" s="19">
        <v>16.033000000000001</v>
      </c>
      <c r="C6" s="25">
        <v>55.7</v>
      </c>
      <c r="D6" s="64">
        <v>2879271</v>
      </c>
    </row>
    <row r="7" spans="1:4" ht="15.75" thickBot="1" x14ac:dyDescent="0.3">
      <c r="A7" s="11" t="s">
        <v>42</v>
      </c>
      <c r="B7" s="19">
        <v>10.999000000000001</v>
      </c>
      <c r="C7" s="25">
        <v>55.1</v>
      </c>
      <c r="D7" s="65">
        <v>1996003</v>
      </c>
    </row>
    <row r="8" spans="1:4" ht="15.75" thickBot="1" x14ac:dyDescent="0.3">
      <c r="A8" s="11" t="s">
        <v>25</v>
      </c>
      <c r="B8" s="19">
        <v>13.757</v>
      </c>
      <c r="C8" s="25">
        <v>68.400000000000006</v>
      </c>
      <c r="D8" s="65">
        <v>2011047</v>
      </c>
    </row>
    <row r="9" spans="1:4" ht="15.75" thickBot="1" x14ac:dyDescent="0.3">
      <c r="A9" s="11" t="s">
        <v>26</v>
      </c>
      <c r="B9" s="19">
        <v>4.5830000000000002</v>
      </c>
      <c r="C9" s="25">
        <v>47</v>
      </c>
      <c r="D9" s="65">
        <v>975023</v>
      </c>
    </row>
    <row r="10" spans="1:4" ht="15.75" thickBot="1" x14ac:dyDescent="0.3">
      <c r="A10" s="11" t="s">
        <v>27</v>
      </c>
      <c r="B10" s="19">
        <v>13.114000000000001</v>
      </c>
      <c r="C10" s="25">
        <v>55.5</v>
      </c>
      <c r="D10" s="65">
        <v>2362519</v>
      </c>
    </row>
    <row r="11" spans="1:4" ht="15.75" thickBot="1" x14ac:dyDescent="0.3">
      <c r="A11" s="11" t="s">
        <v>28</v>
      </c>
      <c r="B11" s="19">
        <v>19.588999999999999</v>
      </c>
      <c r="C11" s="25">
        <v>57.1</v>
      </c>
      <c r="D11" s="65">
        <v>3429632</v>
      </c>
    </row>
    <row r="12" spans="1:4" ht="15.75" thickBot="1" x14ac:dyDescent="0.3">
      <c r="A12" s="11" t="s">
        <v>29</v>
      </c>
      <c r="B12" s="19">
        <v>35.027000000000001</v>
      </c>
      <c r="C12" s="25">
        <v>63.6</v>
      </c>
      <c r="D12" s="65">
        <v>5510527</v>
      </c>
    </row>
    <row r="13" spans="1:4" ht="15.75" thickBot="1" x14ac:dyDescent="0.3">
      <c r="A13" s="11" t="s">
        <v>30</v>
      </c>
      <c r="B13" s="19">
        <v>5.1909999999999998</v>
      </c>
      <c r="C13" s="25">
        <v>55.4</v>
      </c>
      <c r="D13" s="65">
        <v>936725</v>
      </c>
    </row>
    <row r="14" spans="1:4" ht="15.75" thickBot="1" x14ac:dyDescent="0.3">
      <c r="A14" s="11" t="s">
        <v>31</v>
      </c>
      <c r="B14" s="19">
        <v>13.465999999999999</v>
      </c>
      <c r="C14" s="25">
        <v>65</v>
      </c>
      <c r="D14" s="65">
        <v>2071676</v>
      </c>
    </row>
    <row r="15" spans="1:4" ht="15.75" thickBot="1" x14ac:dyDescent="0.3">
      <c r="A15" s="11" t="s">
        <v>32</v>
      </c>
      <c r="B15" s="19">
        <v>7.1920000000000002</v>
      </c>
      <c r="C15" s="25">
        <v>63.2</v>
      </c>
      <c r="D15" s="65">
        <v>1138216</v>
      </c>
    </row>
    <row r="16" spans="1:4" ht="15.75" thickBot="1" x14ac:dyDescent="0.3">
      <c r="A16" s="11" t="s">
        <v>33</v>
      </c>
      <c r="B16" s="19">
        <v>10.816000000000001</v>
      </c>
      <c r="C16" s="25">
        <v>45.8</v>
      </c>
      <c r="D16" s="65">
        <v>2359573</v>
      </c>
    </row>
    <row r="17" spans="1:4" ht="15.75" thickBot="1" x14ac:dyDescent="0.3">
      <c r="A17" s="11" t="s">
        <v>34</v>
      </c>
      <c r="B17" s="19">
        <v>26.331</v>
      </c>
      <c r="C17" s="25">
        <v>60.9</v>
      </c>
      <c r="D17" s="65">
        <v>4320130</v>
      </c>
    </row>
    <row r="18" spans="1:4" ht="15.75" thickBot="1" x14ac:dyDescent="0.3">
      <c r="A18" s="11" t="s">
        <v>35</v>
      </c>
      <c r="B18" s="19">
        <v>8.2029999999999994</v>
      </c>
      <c r="C18" s="25">
        <v>70.2</v>
      </c>
      <c r="D18" s="65">
        <v>1168499</v>
      </c>
    </row>
    <row r="19" spans="1:4" ht="15.75" thickBot="1" x14ac:dyDescent="0.3">
      <c r="A19" s="11" t="s">
        <v>36</v>
      </c>
      <c r="B19" s="19">
        <v>7.2030000000000003</v>
      </c>
      <c r="C19" s="25">
        <v>53</v>
      </c>
      <c r="D19" s="65">
        <v>1357910</v>
      </c>
    </row>
    <row r="20" spans="1:4" ht="15.75" thickBot="1" x14ac:dyDescent="0.3">
      <c r="A20" s="11" t="s">
        <v>37</v>
      </c>
      <c r="B20" s="19">
        <v>16.728999999999999</v>
      </c>
      <c r="C20" s="25">
        <v>48</v>
      </c>
      <c r="D20" s="65">
        <v>3487973</v>
      </c>
    </row>
    <row r="21" spans="1:4" x14ac:dyDescent="0.25">
      <c r="A21" s="13" t="s">
        <v>38</v>
      </c>
      <c r="B21" s="20">
        <v>7.8529999999999998</v>
      </c>
      <c r="C21" s="26">
        <v>48.1</v>
      </c>
      <c r="D21" s="65">
        <v>1631784</v>
      </c>
    </row>
  </sheetData>
  <mergeCells count="2">
    <mergeCell ref="A3:A4"/>
    <mergeCell ref="B3:C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2220-B229-4350-B57C-05C85AFC96A3}">
  <sheetPr>
    <tabColor rgb="FF00B0F0"/>
  </sheetPr>
  <dimension ref="A1:J8"/>
  <sheetViews>
    <sheetView zoomScaleNormal="100" workbookViewId="0">
      <selection activeCell="G21" sqref="G21"/>
    </sheetView>
  </sheetViews>
  <sheetFormatPr defaultColWidth="9.140625" defaultRowHeight="15" x14ac:dyDescent="0.25"/>
  <cols>
    <col min="1" max="1" width="8.5703125" style="4" customWidth="1"/>
    <col min="2" max="7" width="11" style="4" customWidth="1"/>
    <col min="8" max="8" width="10.7109375" style="4" customWidth="1"/>
    <col min="9" max="9" width="11" style="4" customWidth="1"/>
    <col min="10" max="16384" width="9.140625" style="4"/>
  </cols>
  <sheetData>
    <row r="1" spans="1:10" x14ac:dyDescent="0.25">
      <c r="A1" s="71" t="s">
        <v>79</v>
      </c>
      <c r="B1" s="71"/>
      <c r="C1" s="71"/>
      <c r="D1" s="71"/>
      <c r="E1" s="71"/>
      <c r="F1" s="71"/>
      <c r="G1" s="71"/>
      <c r="H1" s="71"/>
    </row>
    <row r="2" spans="1:10" x14ac:dyDescent="0.25">
      <c r="A2" s="4" t="s">
        <v>39</v>
      </c>
      <c r="C2" s="43"/>
      <c r="G2" s="43"/>
    </row>
    <row r="3" spans="1:10" x14ac:dyDescent="0.25">
      <c r="B3" s="44" t="s">
        <v>68</v>
      </c>
      <c r="C3" s="44" t="s">
        <v>69</v>
      </c>
      <c r="D3" s="44" t="s">
        <v>70</v>
      </c>
      <c r="E3" s="44" t="s">
        <v>71</v>
      </c>
      <c r="F3" s="44" t="s">
        <v>72</v>
      </c>
      <c r="G3" s="44" t="s">
        <v>73</v>
      </c>
      <c r="H3" s="44" t="s">
        <v>74</v>
      </c>
    </row>
    <row r="4" spans="1:10" x14ac:dyDescent="0.25">
      <c r="A4" s="42">
        <v>2022</v>
      </c>
      <c r="B4" s="45">
        <v>15.9</v>
      </c>
      <c r="C4" s="45">
        <v>14.5</v>
      </c>
      <c r="D4" s="45">
        <v>16.7</v>
      </c>
      <c r="E4" s="45">
        <v>35.6</v>
      </c>
      <c r="F4" s="45">
        <v>15.9</v>
      </c>
      <c r="G4" s="45">
        <v>1.4</v>
      </c>
      <c r="H4" s="45">
        <v>0</v>
      </c>
      <c r="I4" s="4" t="s">
        <v>76</v>
      </c>
      <c r="J4" s="45"/>
    </row>
    <row r="5" spans="1:10" x14ac:dyDescent="0.25">
      <c r="A5" s="42">
        <v>2023</v>
      </c>
      <c r="B5" s="45">
        <v>16.3</v>
      </c>
      <c r="C5" s="45">
        <v>15.5</v>
      </c>
      <c r="D5" s="45">
        <v>15.5</v>
      </c>
      <c r="E5" s="45">
        <v>34.4</v>
      </c>
      <c r="F5" s="45">
        <v>16.5</v>
      </c>
      <c r="G5" s="45">
        <v>1.6</v>
      </c>
      <c r="H5" s="45">
        <v>0.1</v>
      </c>
      <c r="I5" s="4" t="s">
        <v>76</v>
      </c>
      <c r="J5" s="45"/>
    </row>
    <row r="6" spans="1:10" x14ac:dyDescent="0.25">
      <c r="J6" s="45"/>
    </row>
    <row r="7" spans="1:10" x14ac:dyDescent="0.25">
      <c r="J7" s="45"/>
    </row>
    <row r="8" spans="1:10" x14ac:dyDescent="0.25">
      <c r="J8" s="4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M23"/>
  <sheetViews>
    <sheetView zoomScale="130" zoomScaleNormal="130" workbookViewId="0">
      <selection activeCell="D4" sqref="D4"/>
    </sheetView>
  </sheetViews>
  <sheetFormatPr defaultColWidth="9.140625" defaultRowHeight="15" x14ac:dyDescent="0.25"/>
  <cols>
    <col min="1" max="1" width="18.42578125" style="4" customWidth="1"/>
    <col min="2" max="3" width="9.140625" style="4"/>
    <col min="4" max="4" width="12.7109375" style="4" customWidth="1"/>
    <col min="5" max="5" width="10.42578125" style="4" bestFit="1" customWidth="1"/>
    <col min="6" max="6" width="9.140625" style="4"/>
    <col min="7" max="7" width="12.7109375" style="4" customWidth="1"/>
    <col min="8" max="8" width="11.7109375" style="4" customWidth="1"/>
    <col min="9" max="9" width="11.85546875" style="4" customWidth="1"/>
    <col min="10" max="16384" width="9.140625" style="4"/>
  </cols>
  <sheetData>
    <row r="1" spans="1:13" x14ac:dyDescent="0.25">
      <c r="A1" s="22" t="s">
        <v>48</v>
      </c>
      <c r="B1" s="5"/>
      <c r="C1" s="5"/>
      <c r="D1" s="5"/>
      <c r="E1" s="5"/>
      <c r="F1" s="5"/>
      <c r="G1" s="5"/>
    </row>
    <row r="2" spans="1:13" x14ac:dyDescent="0.25">
      <c r="A2" s="4" t="s">
        <v>39</v>
      </c>
      <c r="B2" s="5"/>
      <c r="C2" s="5"/>
      <c r="D2" s="5"/>
      <c r="E2" s="5"/>
      <c r="F2" s="5"/>
      <c r="G2" s="5"/>
    </row>
    <row r="3" spans="1:13" x14ac:dyDescent="0.25">
      <c r="A3" s="55" t="s">
        <v>43</v>
      </c>
      <c r="B3" s="55">
        <v>2022</v>
      </c>
      <c r="C3" s="55"/>
      <c r="D3" s="55"/>
      <c r="E3" s="84">
        <v>2023</v>
      </c>
      <c r="F3" s="84"/>
      <c r="G3" s="84"/>
      <c r="H3" s="31"/>
      <c r="I3" s="31"/>
    </row>
    <row r="4" spans="1:13" ht="39" x14ac:dyDescent="0.25">
      <c r="A4" s="55"/>
      <c r="B4" s="32" t="s">
        <v>40</v>
      </c>
      <c r="C4" s="32" t="s">
        <v>41</v>
      </c>
      <c r="D4" s="91" t="s">
        <v>49</v>
      </c>
      <c r="E4" s="32" t="s">
        <v>40</v>
      </c>
      <c r="F4" s="32" t="s">
        <v>41</v>
      </c>
      <c r="G4" s="32" t="s">
        <v>49</v>
      </c>
      <c r="H4" s="32" t="s">
        <v>54</v>
      </c>
      <c r="I4" s="33" t="s">
        <v>55</v>
      </c>
    </row>
    <row r="5" spans="1:13" x14ac:dyDescent="0.25">
      <c r="A5" s="34" t="s">
        <v>45</v>
      </c>
      <c r="B5" s="40">
        <v>28.445</v>
      </c>
      <c r="C5" s="30">
        <f>B5/B$5*100</f>
        <v>100</v>
      </c>
      <c r="D5" s="28">
        <v>14.6</v>
      </c>
      <c r="E5" s="40">
        <v>28.5</v>
      </c>
      <c r="F5" s="30">
        <v>100</v>
      </c>
      <c r="G5" s="41">
        <v>14.7</v>
      </c>
      <c r="H5" s="85">
        <v>19517006</v>
      </c>
      <c r="I5" s="86">
        <f>SUM(I6:I21)</f>
        <v>19454109</v>
      </c>
      <c r="J5" s="4">
        <v>28445</v>
      </c>
      <c r="K5" s="45">
        <f>J5/J$5*100</f>
        <v>100</v>
      </c>
      <c r="L5" s="37">
        <v>28527</v>
      </c>
      <c r="M5" s="45">
        <f>L5/L$5*100</f>
        <v>100</v>
      </c>
    </row>
    <row r="6" spans="1:13" x14ac:dyDescent="0.25">
      <c r="A6" s="35" t="s">
        <v>24</v>
      </c>
      <c r="B6" s="27">
        <v>1.8160000000000001</v>
      </c>
      <c r="C6" s="30">
        <f t="shared" ref="C6:C21" si="0">B6/B$5*100</f>
        <v>6.384250307611179</v>
      </c>
      <c r="D6" s="29">
        <v>12.1</v>
      </c>
      <c r="E6" s="27">
        <v>1.8240000000000001</v>
      </c>
      <c r="F6" s="87">
        <v>6.3939425807130092</v>
      </c>
      <c r="G6" s="25">
        <v>12.2</v>
      </c>
      <c r="H6" s="88">
        <v>1499910</v>
      </c>
      <c r="I6" s="89">
        <v>1495781</v>
      </c>
      <c r="J6" s="4">
        <v>1816</v>
      </c>
      <c r="K6" s="45">
        <f t="shared" ref="K6:K21" si="1">J6/J$5*100</f>
        <v>6.384250307611179</v>
      </c>
      <c r="L6" s="38">
        <v>1824</v>
      </c>
      <c r="M6" s="45">
        <f t="shared" ref="M6:M21" si="2">L6/L$5*100</f>
        <v>6.3939425807130092</v>
      </c>
    </row>
    <row r="7" spans="1:13" x14ac:dyDescent="0.25">
      <c r="A7" s="35" t="s">
        <v>42</v>
      </c>
      <c r="B7" s="27">
        <v>1.409</v>
      </c>
      <c r="C7" s="30">
        <f t="shared" si="0"/>
        <v>4.9534188785375282</v>
      </c>
      <c r="D7" s="29">
        <v>13.6</v>
      </c>
      <c r="E7" s="27">
        <v>1.411</v>
      </c>
      <c r="F7" s="87">
        <v>4.9461913275142848</v>
      </c>
      <c r="G7" s="25">
        <v>13.7</v>
      </c>
      <c r="H7" s="90">
        <v>1035828</v>
      </c>
      <c r="I7" s="89">
        <v>1030602</v>
      </c>
      <c r="J7" s="4">
        <v>1409</v>
      </c>
      <c r="K7" s="45">
        <f t="shared" si="1"/>
        <v>4.9534188785375282</v>
      </c>
      <c r="L7" s="38">
        <v>1411</v>
      </c>
      <c r="M7" s="45">
        <f t="shared" si="2"/>
        <v>4.9461913275142848</v>
      </c>
    </row>
    <row r="8" spans="1:13" x14ac:dyDescent="0.25">
      <c r="A8" s="35" t="s">
        <v>25</v>
      </c>
      <c r="B8" s="27">
        <v>1.748</v>
      </c>
      <c r="C8" s="30">
        <f t="shared" si="0"/>
        <v>6.1451924767094397</v>
      </c>
      <c r="D8" s="29">
        <v>16.7</v>
      </c>
      <c r="E8" s="27">
        <v>1.732</v>
      </c>
      <c r="F8" s="87">
        <v>6.0714410908963439</v>
      </c>
      <c r="G8" s="25">
        <v>16.7</v>
      </c>
      <c r="H8" s="90">
        <v>1044468</v>
      </c>
      <c r="I8" s="89">
        <v>1037636</v>
      </c>
      <c r="J8" s="4">
        <v>1748</v>
      </c>
      <c r="K8" s="45">
        <f t="shared" si="1"/>
        <v>6.1451924767094397</v>
      </c>
      <c r="L8" s="38">
        <v>1732</v>
      </c>
      <c r="M8" s="45">
        <f t="shared" si="2"/>
        <v>6.0714410908963439</v>
      </c>
    </row>
    <row r="9" spans="1:13" x14ac:dyDescent="0.25">
      <c r="A9" s="35" t="s">
        <v>26</v>
      </c>
      <c r="B9" s="27">
        <v>0.53900000000000003</v>
      </c>
      <c r="C9" s="30">
        <f t="shared" si="0"/>
        <v>1.8948848655299702</v>
      </c>
      <c r="D9" s="29">
        <v>10.7</v>
      </c>
      <c r="E9" s="27">
        <v>0.53600000000000003</v>
      </c>
      <c r="F9" s="87">
        <v>1.8789217232797002</v>
      </c>
      <c r="G9" s="25">
        <v>10.7</v>
      </c>
      <c r="H9" s="90">
        <v>504259</v>
      </c>
      <c r="I9" s="89">
        <v>501854</v>
      </c>
      <c r="J9" s="4">
        <v>539</v>
      </c>
      <c r="K9" s="45">
        <f t="shared" si="1"/>
        <v>1.8948848655299702</v>
      </c>
      <c r="L9" s="38">
        <v>536</v>
      </c>
      <c r="M9" s="45">
        <f t="shared" si="2"/>
        <v>1.8789217232797002</v>
      </c>
    </row>
    <row r="10" spans="1:13" x14ac:dyDescent="0.25">
      <c r="A10" s="35" t="s">
        <v>27</v>
      </c>
      <c r="B10" s="27">
        <v>2.0299999999999998</v>
      </c>
      <c r="C10" s="30">
        <f t="shared" si="0"/>
        <v>7.1365793636843016</v>
      </c>
      <c r="D10" s="29">
        <v>16.3</v>
      </c>
      <c r="E10" s="27">
        <v>2.0670000000000002</v>
      </c>
      <c r="F10" s="87">
        <v>7.2457671679461555</v>
      </c>
      <c r="G10" s="25">
        <v>16.7</v>
      </c>
      <c r="H10" s="90">
        <v>1245193</v>
      </c>
      <c r="I10" s="89">
        <v>1236844</v>
      </c>
      <c r="J10" s="4">
        <v>2030</v>
      </c>
      <c r="K10" s="45">
        <f t="shared" si="1"/>
        <v>7.1365793636843033</v>
      </c>
      <c r="L10" s="38">
        <v>2067</v>
      </c>
      <c r="M10" s="45">
        <f t="shared" si="2"/>
        <v>7.2457671679461555</v>
      </c>
    </row>
    <row r="11" spans="1:13" x14ac:dyDescent="0.25">
      <c r="A11" s="35" t="s">
        <v>28</v>
      </c>
      <c r="B11" s="27">
        <v>2.5779999999999998</v>
      </c>
      <c r="C11" s="30">
        <f t="shared" si="0"/>
        <v>9.0631042362453851</v>
      </c>
      <c r="D11" s="29">
        <v>14.6</v>
      </c>
      <c r="E11" s="27">
        <v>2.6120000000000001</v>
      </c>
      <c r="F11" s="87">
        <v>9.1562379500122688</v>
      </c>
      <c r="G11" s="25">
        <v>14.8</v>
      </c>
      <c r="H11" s="90">
        <v>1765923</v>
      </c>
      <c r="I11" s="89">
        <v>1766503</v>
      </c>
      <c r="J11" s="4">
        <v>2578</v>
      </c>
      <c r="K11" s="45">
        <f t="shared" si="1"/>
        <v>9.0631042362453851</v>
      </c>
      <c r="L11" s="38">
        <v>2612</v>
      </c>
      <c r="M11" s="45">
        <f t="shared" si="2"/>
        <v>9.1562379500122688</v>
      </c>
    </row>
    <row r="12" spans="1:13" x14ac:dyDescent="0.25">
      <c r="A12" s="35" t="s">
        <v>29</v>
      </c>
      <c r="B12" s="27">
        <v>4.6379999999999999</v>
      </c>
      <c r="C12" s="30">
        <f t="shared" si="0"/>
        <v>16.305150290033396</v>
      </c>
      <c r="D12" s="29">
        <v>16.100000000000001</v>
      </c>
      <c r="E12" s="27">
        <v>4.6790000000000003</v>
      </c>
      <c r="F12" s="87">
        <v>16.402005117958428</v>
      </c>
      <c r="G12" s="25">
        <v>16.3</v>
      </c>
      <c r="H12" s="90">
        <v>2872371</v>
      </c>
      <c r="I12" s="89">
        <v>2872053</v>
      </c>
      <c r="J12" s="4">
        <v>4638</v>
      </c>
      <c r="K12" s="45">
        <f t="shared" si="1"/>
        <v>16.305150290033399</v>
      </c>
      <c r="L12" s="38">
        <v>4679</v>
      </c>
      <c r="M12" s="45">
        <f t="shared" si="2"/>
        <v>16.402005117958428</v>
      </c>
    </row>
    <row r="13" spans="1:13" x14ac:dyDescent="0.25">
      <c r="A13" s="35" t="s">
        <v>30</v>
      </c>
      <c r="B13" s="27">
        <v>0.625</v>
      </c>
      <c r="C13" s="30">
        <f t="shared" si="0"/>
        <v>2.1972227104939357</v>
      </c>
      <c r="D13" s="29">
        <v>12.8</v>
      </c>
      <c r="E13" s="27">
        <v>0.623</v>
      </c>
      <c r="F13" s="87">
        <v>2.1838959582150244</v>
      </c>
      <c r="G13" s="25">
        <v>12.9</v>
      </c>
      <c r="H13" s="90">
        <v>486920</v>
      </c>
      <c r="I13" s="89">
        <v>484194</v>
      </c>
      <c r="J13" s="4">
        <v>625</v>
      </c>
      <c r="K13" s="45">
        <f t="shared" si="1"/>
        <v>2.1972227104939357</v>
      </c>
      <c r="L13" s="38">
        <v>623</v>
      </c>
      <c r="M13" s="45">
        <f t="shared" si="2"/>
        <v>2.1838959582150244</v>
      </c>
    </row>
    <row r="14" spans="1:13" x14ac:dyDescent="0.25">
      <c r="A14" s="35" t="s">
        <v>31</v>
      </c>
      <c r="B14" s="27">
        <v>1.81</v>
      </c>
      <c r="C14" s="30">
        <f t="shared" si="0"/>
        <v>6.3631569695904373</v>
      </c>
      <c r="D14" s="29">
        <v>17.100000000000001</v>
      </c>
      <c r="E14" s="27">
        <v>1.782</v>
      </c>
      <c r="F14" s="87">
        <v>6.2467136397097489</v>
      </c>
      <c r="G14" s="25">
        <v>16.8</v>
      </c>
      <c r="H14" s="90">
        <v>1061474</v>
      </c>
      <c r="I14" s="89">
        <v>1057730</v>
      </c>
      <c r="J14" s="4">
        <v>1810</v>
      </c>
      <c r="K14" s="45">
        <f t="shared" si="1"/>
        <v>6.3631569695904373</v>
      </c>
      <c r="L14" s="38">
        <v>1782</v>
      </c>
      <c r="M14" s="45">
        <f t="shared" si="2"/>
        <v>6.2467136397097489</v>
      </c>
    </row>
    <row r="15" spans="1:13" x14ac:dyDescent="0.25">
      <c r="A15" s="35" t="s">
        <v>32</v>
      </c>
      <c r="B15" s="27">
        <v>0.99199999999999999</v>
      </c>
      <c r="C15" s="30">
        <f t="shared" si="0"/>
        <v>3.4874318860959748</v>
      </c>
      <c r="D15" s="29">
        <v>16.899999999999999</v>
      </c>
      <c r="E15" s="27">
        <v>0.98</v>
      </c>
      <c r="F15" s="87">
        <v>3.435341956742735</v>
      </c>
      <c r="G15" s="25">
        <v>16.8</v>
      </c>
      <c r="H15" s="90">
        <v>587171</v>
      </c>
      <c r="I15" s="89">
        <v>584659</v>
      </c>
      <c r="J15" s="4">
        <v>992</v>
      </c>
      <c r="K15" s="45">
        <f t="shared" si="1"/>
        <v>3.4874318860959748</v>
      </c>
      <c r="L15" s="38">
        <v>980</v>
      </c>
      <c r="M15" s="45">
        <f t="shared" si="2"/>
        <v>3.435341956742735</v>
      </c>
    </row>
    <row r="16" spans="1:13" x14ac:dyDescent="0.25">
      <c r="A16" s="35" t="s">
        <v>33</v>
      </c>
      <c r="B16" s="27">
        <v>1.4159999999999999</v>
      </c>
      <c r="C16" s="30">
        <f t="shared" si="0"/>
        <v>4.9780277728950608</v>
      </c>
      <c r="D16" s="29">
        <v>11.7</v>
      </c>
      <c r="E16" s="27">
        <v>1.4570000000000001</v>
      </c>
      <c r="F16" s="87">
        <v>5.1074420724226171</v>
      </c>
      <c r="G16" s="25">
        <v>12</v>
      </c>
      <c r="H16" s="90">
        <v>1212670</v>
      </c>
      <c r="I16" s="89">
        <v>1213819</v>
      </c>
      <c r="J16" s="4">
        <v>1416</v>
      </c>
      <c r="K16" s="45">
        <f t="shared" si="1"/>
        <v>4.9780277728950608</v>
      </c>
      <c r="L16" s="38">
        <v>1457</v>
      </c>
      <c r="M16" s="45">
        <f t="shared" si="2"/>
        <v>5.1074420724226171</v>
      </c>
    </row>
    <row r="17" spans="1:13" x14ac:dyDescent="0.25">
      <c r="A17" s="35" t="s">
        <v>34</v>
      </c>
      <c r="B17" s="27">
        <v>3.1850000000000001</v>
      </c>
      <c r="C17" s="30">
        <f t="shared" si="0"/>
        <v>11.197046932677097</v>
      </c>
      <c r="D17" s="29">
        <v>14.1</v>
      </c>
      <c r="E17" s="27">
        <v>3.1890000000000001</v>
      </c>
      <c r="F17" s="87">
        <v>11.178883163318961</v>
      </c>
      <c r="G17" s="25">
        <v>14.2</v>
      </c>
      <c r="H17" s="90">
        <v>2255796</v>
      </c>
      <c r="I17" s="89">
        <v>2242771</v>
      </c>
      <c r="J17" s="4">
        <v>3185</v>
      </c>
      <c r="K17" s="45">
        <f t="shared" si="1"/>
        <v>11.197046932677097</v>
      </c>
      <c r="L17" s="38">
        <v>3189</v>
      </c>
      <c r="M17" s="45">
        <f t="shared" si="2"/>
        <v>11.178883163318961</v>
      </c>
    </row>
    <row r="18" spans="1:13" x14ac:dyDescent="0.25">
      <c r="A18" s="35" t="s">
        <v>35</v>
      </c>
      <c r="B18" s="27">
        <v>0.96699999999999997</v>
      </c>
      <c r="C18" s="30">
        <f t="shared" si="0"/>
        <v>3.3995429776762167</v>
      </c>
      <c r="D18" s="29">
        <v>16</v>
      </c>
      <c r="E18" s="27">
        <v>0.95799999999999996</v>
      </c>
      <c r="F18" s="87">
        <v>3.3582220352648364</v>
      </c>
      <c r="G18" s="25">
        <v>16</v>
      </c>
      <c r="H18" s="90">
        <v>604878</v>
      </c>
      <c r="I18" s="89">
        <v>600225</v>
      </c>
      <c r="J18" s="4">
        <v>967</v>
      </c>
      <c r="K18" s="45">
        <f t="shared" si="1"/>
        <v>3.3995429776762176</v>
      </c>
      <c r="L18" s="38">
        <v>958</v>
      </c>
      <c r="M18" s="45">
        <f t="shared" si="2"/>
        <v>3.3582220352648364</v>
      </c>
    </row>
    <row r="19" spans="1:13" x14ac:dyDescent="0.25">
      <c r="A19" s="35" t="s">
        <v>36</v>
      </c>
      <c r="B19" s="27">
        <v>0.82499999999999996</v>
      </c>
      <c r="C19" s="30">
        <f t="shared" si="0"/>
        <v>2.9003339778519948</v>
      </c>
      <c r="D19" s="29">
        <v>11.8</v>
      </c>
      <c r="E19" s="27">
        <v>0.84599999999999997</v>
      </c>
      <c r="F19" s="87">
        <v>2.9656115259228102</v>
      </c>
      <c r="G19" s="25">
        <v>12.2</v>
      </c>
      <c r="H19" s="90">
        <v>699387</v>
      </c>
      <c r="I19" s="89">
        <v>695285</v>
      </c>
      <c r="J19" s="4">
        <v>825</v>
      </c>
      <c r="K19" s="45">
        <f t="shared" si="1"/>
        <v>2.9003339778519948</v>
      </c>
      <c r="L19" s="38">
        <v>846</v>
      </c>
      <c r="M19" s="45">
        <f t="shared" si="2"/>
        <v>2.9656115259228102</v>
      </c>
    </row>
    <row r="20" spans="1:13" x14ac:dyDescent="0.25">
      <c r="A20" s="35" t="s">
        <v>37</v>
      </c>
      <c r="B20" s="27">
        <v>2.7949999999999999</v>
      </c>
      <c r="C20" s="30">
        <f t="shared" si="0"/>
        <v>9.8259799613288799</v>
      </c>
      <c r="D20" s="29">
        <v>15.6</v>
      </c>
      <c r="E20" s="27">
        <v>2.77</v>
      </c>
      <c r="F20" s="87">
        <v>9.7100992042626295</v>
      </c>
      <c r="G20" s="25">
        <v>15.4</v>
      </c>
      <c r="H20" s="90">
        <v>1796325</v>
      </c>
      <c r="I20" s="89">
        <v>1793736</v>
      </c>
      <c r="J20" s="4">
        <v>2795</v>
      </c>
      <c r="K20" s="45">
        <f t="shared" si="1"/>
        <v>9.8259799613288799</v>
      </c>
      <c r="L20" s="38">
        <v>2770</v>
      </c>
      <c r="M20" s="45">
        <f t="shared" si="2"/>
        <v>9.7100992042626295</v>
      </c>
    </row>
    <row r="21" spans="1:13" x14ac:dyDescent="0.25">
      <c r="A21" s="35" t="s">
        <v>38</v>
      </c>
      <c r="B21" s="27">
        <v>1.0720000000000001</v>
      </c>
      <c r="C21" s="30">
        <f t="shared" si="0"/>
        <v>3.7686763930391982</v>
      </c>
      <c r="D21" s="29">
        <v>12.7</v>
      </c>
      <c r="E21" s="27">
        <v>1.0609999999999999</v>
      </c>
      <c r="F21" s="87">
        <v>3.7192834858204509</v>
      </c>
      <c r="G21" s="26">
        <v>12.6</v>
      </c>
      <c r="H21" s="90">
        <v>844433</v>
      </c>
      <c r="I21" s="89">
        <v>840417</v>
      </c>
      <c r="J21" s="4">
        <v>1072</v>
      </c>
      <c r="K21" s="45">
        <f t="shared" si="1"/>
        <v>3.7686763930391982</v>
      </c>
      <c r="L21" s="39">
        <v>1061</v>
      </c>
      <c r="M21" s="45">
        <f t="shared" si="2"/>
        <v>3.7192834858204509</v>
      </c>
    </row>
    <row r="23" spans="1:13" x14ac:dyDescent="0.25">
      <c r="A23" s="36"/>
    </row>
  </sheetData>
  <mergeCells count="3">
    <mergeCell ref="A3:A4"/>
    <mergeCell ref="B3:D3"/>
    <mergeCell ref="E3:G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D23"/>
  <sheetViews>
    <sheetView workbookViewId="0">
      <selection sqref="A1:XFD1048576"/>
    </sheetView>
  </sheetViews>
  <sheetFormatPr defaultColWidth="9.140625" defaultRowHeight="15" x14ac:dyDescent="0.25"/>
  <cols>
    <col min="1" max="1" width="17.28515625" style="4" customWidth="1"/>
    <col min="2" max="3" width="9.140625" style="4"/>
    <col min="4" max="4" width="12" style="4" customWidth="1"/>
    <col min="5" max="16384" width="9.140625" style="4"/>
  </cols>
  <sheetData>
    <row r="1" spans="1:4" x14ac:dyDescent="0.25">
      <c r="A1" s="4" t="s">
        <v>56</v>
      </c>
    </row>
    <row r="2" spans="1:4" x14ac:dyDescent="0.25">
      <c r="A2" s="4" t="s">
        <v>39</v>
      </c>
    </row>
    <row r="3" spans="1:4" ht="15.75" thickBot="1" x14ac:dyDescent="0.3">
      <c r="A3" s="50" t="s">
        <v>43</v>
      </c>
      <c r="B3" s="56">
        <v>2023</v>
      </c>
      <c r="C3" s="57"/>
    </row>
    <row r="4" spans="1:4" ht="30.75" thickBot="1" x14ac:dyDescent="0.3">
      <c r="A4" s="51"/>
      <c r="B4" s="23" t="s">
        <v>40</v>
      </c>
      <c r="C4" s="58" t="s">
        <v>49</v>
      </c>
      <c r="D4" s="92" t="s">
        <v>57</v>
      </c>
    </row>
    <row r="5" spans="1:4" ht="16.5" thickTop="1" thickBot="1" x14ac:dyDescent="0.3">
      <c r="A5" s="24" t="s">
        <v>45</v>
      </c>
      <c r="B5" s="93">
        <v>28.527000000000001</v>
      </c>
      <c r="C5" s="41">
        <v>14.7</v>
      </c>
      <c r="D5" s="94">
        <v>19454109</v>
      </c>
    </row>
    <row r="6" spans="1:4" ht="15.75" thickBot="1" x14ac:dyDescent="0.3">
      <c r="A6" s="11" t="s">
        <v>24</v>
      </c>
      <c r="B6" s="27">
        <v>1.8240000000000001</v>
      </c>
      <c r="C6" s="25">
        <v>12.2</v>
      </c>
      <c r="D6" s="4">
        <v>1495781</v>
      </c>
    </row>
    <row r="7" spans="1:4" ht="15.75" thickBot="1" x14ac:dyDescent="0.3">
      <c r="A7" s="11" t="s">
        <v>42</v>
      </c>
      <c r="B7" s="27">
        <v>1.411</v>
      </c>
      <c r="C7" s="25">
        <v>13.7</v>
      </c>
      <c r="D7" s="4">
        <v>1030602</v>
      </c>
    </row>
    <row r="8" spans="1:4" ht="15.75" thickBot="1" x14ac:dyDescent="0.3">
      <c r="A8" s="11" t="s">
        <v>25</v>
      </c>
      <c r="B8" s="27">
        <v>1.732</v>
      </c>
      <c r="C8" s="25">
        <v>16.7</v>
      </c>
      <c r="D8" s="4">
        <v>1037636</v>
      </c>
    </row>
    <row r="9" spans="1:4" ht="15.75" thickBot="1" x14ac:dyDescent="0.3">
      <c r="A9" s="11" t="s">
        <v>26</v>
      </c>
      <c r="B9" s="27">
        <v>0.53600000000000003</v>
      </c>
      <c r="C9" s="25">
        <v>10.7</v>
      </c>
      <c r="D9" s="4">
        <v>501854</v>
      </c>
    </row>
    <row r="10" spans="1:4" ht="15.75" thickBot="1" x14ac:dyDescent="0.3">
      <c r="A10" s="11" t="s">
        <v>27</v>
      </c>
      <c r="B10" s="27">
        <v>2.0670000000000002</v>
      </c>
      <c r="C10" s="25">
        <v>16.7</v>
      </c>
      <c r="D10" s="4">
        <v>1236844</v>
      </c>
    </row>
    <row r="11" spans="1:4" ht="15.75" thickBot="1" x14ac:dyDescent="0.3">
      <c r="A11" s="11" t="s">
        <v>28</v>
      </c>
      <c r="B11" s="27">
        <v>2.6120000000000001</v>
      </c>
      <c r="C11" s="25">
        <v>14.8</v>
      </c>
      <c r="D11" s="4">
        <v>1766503</v>
      </c>
    </row>
    <row r="12" spans="1:4" ht="15.75" thickBot="1" x14ac:dyDescent="0.3">
      <c r="A12" s="11" t="s">
        <v>29</v>
      </c>
      <c r="B12" s="27">
        <v>4.6790000000000003</v>
      </c>
      <c r="C12" s="25">
        <v>16.3</v>
      </c>
      <c r="D12" s="4">
        <v>2872053</v>
      </c>
    </row>
    <row r="13" spans="1:4" ht="15.75" thickBot="1" x14ac:dyDescent="0.3">
      <c r="A13" s="11" t="s">
        <v>30</v>
      </c>
      <c r="B13" s="27">
        <v>0.623</v>
      </c>
      <c r="C13" s="25">
        <v>12.9</v>
      </c>
      <c r="D13" s="4">
        <v>484194</v>
      </c>
    </row>
    <row r="14" spans="1:4" ht="15.75" thickBot="1" x14ac:dyDescent="0.3">
      <c r="A14" s="11" t="s">
        <v>31</v>
      </c>
      <c r="B14" s="27">
        <v>1.782</v>
      </c>
      <c r="C14" s="25">
        <v>16.8</v>
      </c>
      <c r="D14" s="4">
        <v>1057730</v>
      </c>
    </row>
    <row r="15" spans="1:4" ht="15.75" thickBot="1" x14ac:dyDescent="0.3">
      <c r="A15" s="11" t="s">
        <v>32</v>
      </c>
      <c r="B15" s="27">
        <v>0.98</v>
      </c>
      <c r="C15" s="25">
        <v>16.8</v>
      </c>
      <c r="D15" s="4">
        <v>584659</v>
      </c>
    </row>
    <row r="16" spans="1:4" ht="15.75" thickBot="1" x14ac:dyDescent="0.3">
      <c r="A16" s="11" t="s">
        <v>33</v>
      </c>
      <c r="B16" s="27">
        <v>1.4570000000000001</v>
      </c>
      <c r="C16" s="25">
        <v>12</v>
      </c>
      <c r="D16" s="4">
        <v>1213819</v>
      </c>
    </row>
    <row r="17" spans="1:4" ht="15.75" thickBot="1" x14ac:dyDescent="0.3">
      <c r="A17" s="11" t="s">
        <v>34</v>
      </c>
      <c r="B17" s="27">
        <v>3.1890000000000001</v>
      </c>
      <c r="C17" s="25">
        <v>14.2</v>
      </c>
      <c r="D17" s="4">
        <v>2242771</v>
      </c>
    </row>
    <row r="18" spans="1:4" ht="15.75" thickBot="1" x14ac:dyDescent="0.3">
      <c r="A18" s="11" t="s">
        <v>35</v>
      </c>
      <c r="B18" s="27">
        <v>0.95799999999999996</v>
      </c>
      <c r="C18" s="25">
        <v>16</v>
      </c>
      <c r="D18" s="4">
        <v>600225</v>
      </c>
    </row>
    <row r="19" spans="1:4" ht="15.75" thickBot="1" x14ac:dyDescent="0.3">
      <c r="A19" s="11" t="s">
        <v>36</v>
      </c>
      <c r="B19" s="27">
        <v>0.84599999999999997</v>
      </c>
      <c r="C19" s="25">
        <v>12.2</v>
      </c>
      <c r="D19" s="4">
        <v>695285</v>
      </c>
    </row>
    <row r="20" spans="1:4" ht="15.75" thickBot="1" x14ac:dyDescent="0.3">
      <c r="A20" s="11" t="s">
        <v>37</v>
      </c>
      <c r="B20" s="27">
        <v>2.77</v>
      </c>
      <c r="C20" s="25">
        <v>15.4</v>
      </c>
      <c r="D20" s="4">
        <v>1793736</v>
      </c>
    </row>
    <row r="21" spans="1:4" x14ac:dyDescent="0.25">
      <c r="A21" s="13" t="s">
        <v>38</v>
      </c>
      <c r="B21" s="27">
        <v>1.0609999999999999</v>
      </c>
      <c r="C21" s="26">
        <v>12.6</v>
      </c>
      <c r="D21" s="4">
        <v>840417</v>
      </c>
    </row>
    <row r="23" spans="1:4" x14ac:dyDescent="0.25">
      <c r="A23" s="95"/>
    </row>
  </sheetData>
  <mergeCells count="2">
    <mergeCell ref="A3:A4"/>
    <mergeCell ref="B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DCC4-11C0-4C47-B129-C62D4BDE931B}">
  <sheetPr>
    <tabColor rgb="FF00B0F0"/>
  </sheetPr>
  <dimension ref="A1:J15"/>
  <sheetViews>
    <sheetView zoomScaleNormal="100" workbookViewId="0">
      <selection activeCell="F16" sqref="F16"/>
    </sheetView>
  </sheetViews>
  <sheetFormatPr defaultColWidth="9.140625" defaultRowHeight="15" x14ac:dyDescent="0.25"/>
  <cols>
    <col min="1" max="1" width="8.5703125" style="2" customWidth="1"/>
    <col min="2" max="7" width="11" style="2" customWidth="1"/>
    <col min="8" max="8" width="10.7109375" style="2" customWidth="1"/>
    <col min="9" max="9" width="11" style="2" customWidth="1"/>
    <col min="10" max="16384" width="9.140625" style="2"/>
  </cols>
  <sheetData>
    <row r="1" spans="1:10" x14ac:dyDescent="0.25">
      <c r="A1" s="1" t="s">
        <v>80</v>
      </c>
      <c r="B1" s="1"/>
      <c r="C1" s="1"/>
      <c r="D1" s="1"/>
      <c r="E1" s="1"/>
      <c r="F1" s="1"/>
      <c r="G1" s="1"/>
      <c r="H1" s="1"/>
    </row>
    <row r="2" spans="1:10" x14ac:dyDescent="0.25">
      <c r="A2" s="2" t="s">
        <v>39</v>
      </c>
      <c r="C2" s="46"/>
      <c r="G2" s="46"/>
    </row>
    <row r="3" spans="1:10" x14ac:dyDescent="0.25">
      <c r="B3" s="47" t="s">
        <v>68</v>
      </c>
      <c r="C3" s="47" t="s">
        <v>69</v>
      </c>
      <c r="D3" s="47" t="s">
        <v>70</v>
      </c>
      <c r="E3" s="47" t="s">
        <v>71</v>
      </c>
      <c r="F3" s="47" t="s">
        <v>72</v>
      </c>
      <c r="G3" s="47" t="s">
        <v>73</v>
      </c>
      <c r="H3" s="47" t="s">
        <v>74</v>
      </c>
    </row>
    <row r="4" spans="1:10" x14ac:dyDescent="0.25">
      <c r="A4" s="2">
        <v>2022</v>
      </c>
      <c r="B4" s="3">
        <v>17.100000000000001</v>
      </c>
      <c r="C4" s="3">
        <v>46.9</v>
      </c>
      <c r="D4" s="3">
        <v>22.4</v>
      </c>
      <c r="E4" s="3">
        <v>9.1999999999999993</v>
      </c>
      <c r="F4" s="3">
        <v>3.8</v>
      </c>
      <c r="G4" s="3">
        <v>0.5</v>
      </c>
      <c r="H4" s="3">
        <v>0.1</v>
      </c>
      <c r="I4" s="2" t="s">
        <v>75</v>
      </c>
    </row>
    <row r="5" spans="1:10" x14ac:dyDescent="0.25">
      <c r="A5" s="2">
        <v>2022</v>
      </c>
      <c r="B5" s="3">
        <v>16.8</v>
      </c>
      <c r="C5" s="3">
        <v>45.9</v>
      </c>
      <c r="D5" s="3">
        <v>22.3</v>
      </c>
      <c r="E5" s="3">
        <v>10.1</v>
      </c>
      <c r="F5" s="3">
        <v>4.5</v>
      </c>
      <c r="G5" s="3">
        <v>0.4</v>
      </c>
      <c r="H5" s="3">
        <v>0</v>
      </c>
      <c r="I5" s="2" t="s">
        <v>76</v>
      </c>
    </row>
    <row r="6" spans="1:10" x14ac:dyDescent="0.25">
      <c r="A6" s="2">
        <v>2023</v>
      </c>
      <c r="B6" s="3">
        <v>21.2</v>
      </c>
      <c r="C6" s="3">
        <v>44.7</v>
      </c>
      <c r="D6" s="3">
        <v>21.3</v>
      </c>
      <c r="E6" s="3">
        <v>8.8000000000000007</v>
      </c>
      <c r="F6" s="3">
        <v>3.4</v>
      </c>
      <c r="G6" s="3">
        <v>0.4</v>
      </c>
      <c r="H6" s="3">
        <v>0.1</v>
      </c>
      <c r="I6" s="2" t="s">
        <v>75</v>
      </c>
    </row>
    <row r="7" spans="1:10" x14ac:dyDescent="0.25">
      <c r="A7" s="2">
        <v>2023</v>
      </c>
      <c r="B7" s="3">
        <v>19.600000000000001</v>
      </c>
      <c r="C7" s="3">
        <v>44.5</v>
      </c>
      <c r="D7" s="3">
        <v>21.7</v>
      </c>
      <c r="E7" s="3">
        <v>9.8000000000000007</v>
      </c>
      <c r="F7" s="3">
        <v>3.9</v>
      </c>
      <c r="G7" s="3">
        <v>0.4</v>
      </c>
      <c r="H7" s="3">
        <v>0</v>
      </c>
      <c r="I7" s="2" t="s">
        <v>76</v>
      </c>
      <c r="J7" s="3"/>
    </row>
    <row r="8" spans="1:10" x14ac:dyDescent="0.25">
      <c r="J8" s="3"/>
    </row>
    <row r="9" spans="1:10" x14ac:dyDescent="0.25">
      <c r="C9" s="3"/>
      <c r="E9" s="3"/>
    </row>
    <row r="11" spans="1:10" x14ac:dyDescent="0.25">
      <c r="J11" s="3"/>
    </row>
    <row r="12" spans="1:10" x14ac:dyDescent="0.25">
      <c r="J12" s="3"/>
    </row>
    <row r="13" spans="1:10" x14ac:dyDescent="0.25">
      <c r="J13" s="3"/>
    </row>
    <row r="14" spans="1:10" x14ac:dyDescent="0.25">
      <c r="J14" s="3"/>
    </row>
    <row r="15" spans="1:10" x14ac:dyDescent="0.25">
      <c r="J15" s="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N21"/>
  <sheetViews>
    <sheetView zoomScale="130" zoomScaleNormal="130" workbookViewId="0">
      <selection sqref="A1:XFD1048576"/>
    </sheetView>
  </sheetViews>
  <sheetFormatPr defaultColWidth="9.140625" defaultRowHeight="15" x14ac:dyDescent="0.25"/>
  <cols>
    <col min="1" max="1" width="18.42578125" style="42" customWidth="1"/>
    <col min="2" max="3" width="9.140625" style="42"/>
    <col min="4" max="4" width="12" style="42" customWidth="1"/>
    <col min="5" max="5" width="10.42578125" style="42" bestFit="1" customWidth="1"/>
    <col min="6" max="6" width="9.140625" style="42"/>
    <col min="7" max="11" width="12.7109375" style="42" customWidth="1"/>
    <col min="12" max="16384" width="9.140625" style="42"/>
  </cols>
  <sheetData>
    <row r="1" spans="1:13" x14ac:dyDescent="0.25">
      <c r="A1" s="97" t="s">
        <v>65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3" x14ac:dyDescent="0.25">
      <c r="A2" s="42" t="s">
        <v>39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3" ht="15.75" thickBot="1" x14ac:dyDescent="0.3">
      <c r="A3" s="99" t="s">
        <v>43</v>
      </c>
      <c r="B3" s="100">
        <v>2022</v>
      </c>
      <c r="C3" s="101"/>
      <c r="D3" s="102"/>
      <c r="E3" s="103">
        <v>2023</v>
      </c>
      <c r="F3" s="104"/>
      <c r="G3" s="104"/>
      <c r="H3" s="105"/>
      <c r="I3" s="105"/>
      <c r="J3" s="105"/>
      <c r="K3" s="105"/>
    </row>
    <row r="4" spans="1:13" ht="39" thickBot="1" x14ac:dyDescent="0.3">
      <c r="A4" s="106"/>
      <c r="B4" s="107" t="s">
        <v>40</v>
      </c>
      <c r="C4" s="107" t="s">
        <v>41</v>
      </c>
      <c r="D4" s="107" t="s">
        <v>44</v>
      </c>
      <c r="E4" s="107" t="s">
        <v>40</v>
      </c>
      <c r="F4" s="107" t="s">
        <v>41</v>
      </c>
      <c r="G4" s="108" t="s">
        <v>44</v>
      </c>
      <c r="H4" s="105" t="s">
        <v>50</v>
      </c>
      <c r="I4" s="105"/>
      <c r="J4" s="109" t="s">
        <v>64</v>
      </c>
      <c r="K4" s="105" t="s">
        <v>50</v>
      </c>
      <c r="L4" s="109" t="s">
        <v>66</v>
      </c>
    </row>
    <row r="5" spans="1:13" ht="16.5" thickTop="1" thickBot="1" x14ac:dyDescent="0.3">
      <c r="A5" s="110" t="s">
        <v>45</v>
      </c>
      <c r="B5" s="111">
        <v>65.900000000000006</v>
      </c>
      <c r="C5" s="112">
        <v>100</v>
      </c>
      <c r="D5" s="112">
        <v>17.399999999999999</v>
      </c>
      <c r="E5" s="113">
        <v>68.8</v>
      </c>
      <c r="F5" s="114">
        <v>100</v>
      </c>
      <c r="G5" s="115">
        <v>18.3</v>
      </c>
      <c r="H5" s="116">
        <v>65889</v>
      </c>
      <c r="I5" s="117">
        <f>H5/H$5*100</f>
        <v>100</v>
      </c>
      <c r="J5" s="98">
        <v>37766327</v>
      </c>
      <c r="K5" s="116">
        <v>68775</v>
      </c>
      <c r="L5" s="118">
        <v>37636508</v>
      </c>
      <c r="M5" s="78">
        <f>K5/K$5*100</f>
        <v>100</v>
      </c>
    </row>
    <row r="6" spans="1:13" ht="15.75" thickBot="1" x14ac:dyDescent="0.3">
      <c r="A6" s="119" t="s">
        <v>24</v>
      </c>
      <c r="B6" s="120">
        <v>5.4</v>
      </c>
      <c r="C6" s="121">
        <v>8.2441682223132844</v>
      </c>
      <c r="D6" s="121">
        <v>18.8</v>
      </c>
      <c r="E6" s="120">
        <v>5.6</v>
      </c>
      <c r="F6" s="122">
        <v>8.1788440567066516</v>
      </c>
      <c r="G6" s="123">
        <v>19.5</v>
      </c>
      <c r="H6" s="124">
        <v>5432</v>
      </c>
      <c r="I6" s="117">
        <f t="shared" ref="I6:I21" si="0">H6/H$5*100</f>
        <v>8.2441682223132844</v>
      </c>
      <c r="J6" s="98">
        <v>2888033</v>
      </c>
      <c r="K6" s="124">
        <v>5625</v>
      </c>
      <c r="L6" s="125">
        <v>2879271</v>
      </c>
      <c r="M6" s="78">
        <f t="shared" ref="M6:M21" si="1">K6/K$5*100</f>
        <v>8.1788440567066516</v>
      </c>
    </row>
    <row r="7" spans="1:13" ht="15.75" thickBot="1" x14ac:dyDescent="0.3">
      <c r="A7" s="119" t="s">
        <v>42</v>
      </c>
      <c r="B7" s="120">
        <v>3.2</v>
      </c>
      <c r="C7" s="121">
        <v>4.8308518872649451</v>
      </c>
      <c r="D7" s="121">
        <v>15.9</v>
      </c>
      <c r="E7" s="120">
        <v>3.3</v>
      </c>
      <c r="F7" s="122">
        <v>4.8651399491094152</v>
      </c>
      <c r="G7" s="123">
        <v>16.8</v>
      </c>
      <c r="H7" s="124">
        <v>3183</v>
      </c>
      <c r="I7" s="117">
        <f t="shared" si="0"/>
        <v>4.8308518872649451</v>
      </c>
      <c r="J7" s="98">
        <v>2006876</v>
      </c>
      <c r="K7" s="124">
        <v>3346</v>
      </c>
      <c r="L7" s="126">
        <v>1996003</v>
      </c>
      <c r="M7" s="78">
        <f t="shared" si="1"/>
        <v>4.8651399491094152</v>
      </c>
    </row>
    <row r="8" spans="1:13" ht="15.75" thickBot="1" x14ac:dyDescent="0.3">
      <c r="A8" s="119" t="s">
        <v>25</v>
      </c>
      <c r="B8" s="120">
        <v>3.4</v>
      </c>
      <c r="C8" s="121">
        <v>5.1116271304770144</v>
      </c>
      <c r="D8" s="121">
        <v>16.600000000000001</v>
      </c>
      <c r="E8" s="120">
        <v>3.4</v>
      </c>
      <c r="F8" s="122">
        <v>4.8753180661577602</v>
      </c>
      <c r="G8" s="123">
        <v>16.7</v>
      </c>
      <c r="H8" s="124">
        <v>3368</v>
      </c>
      <c r="I8" s="117">
        <f t="shared" si="0"/>
        <v>5.1116271304770144</v>
      </c>
      <c r="J8" s="98">
        <v>2024637</v>
      </c>
      <c r="K8" s="124">
        <v>3353</v>
      </c>
      <c r="L8" s="126">
        <v>2011047</v>
      </c>
      <c r="M8" s="78">
        <f t="shared" si="1"/>
        <v>4.8753180661577602</v>
      </c>
    </row>
    <row r="9" spans="1:13" ht="15.75" thickBot="1" x14ac:dyDescent="0.3">
      <c r="A9" s="119" t="s">
        <v>26</v>
      </c>
      <c r="B9" s="120">
        <v>1.4</v>
      </c>
      <c r="C9" s="121">
        <v>2.0959492479776594</v>
      </c>
      <c r="D9" s="121">
        <v>14.1</v>
      </c>
      <c r="E9" s="120">
        <v>1.1000000000000001</v>
      </c>
      <c r="F9" s="122">
        <v>1.6081424936386768</v>
      </c>
      <c r="G9" s="123">
        <v>11.3</v>
      </c>
      <c r="H9" s="124">
        <v>1381</v>
      </c>
      <c r="I9" s="117">
        <f t="shared" si="0"/>
        <v>2.0959492479776594</v>
      </c>
      <c r="J9" s="98">
        <v>979976</v>
      </c>
      <c r="K9" s="124">
        <v>1106</v>
      </c>
      <c r="L9" s="126">
        <v>975023</v>
      </c>
      <c r="M9" s="78">
        <f t="shared" si="1"/>
        <v>1.6081424936386768</v>
      </c>
    </row>
    <row r="10" spans="1:13" ht="15.75" thickBot="1" x14ac:dyDescent="0.3">
      <c r="A10" s="119" t="s">
        <v>27</v>
      </c>
      <c r="B10" s="120">
        <v>3.5</v>
      </c>
      <c r="C10" s="121">
        <v>5.340800437098757</v>
      </c>
      <c r="D10" s="121">
        <v>14.8</v>
      </c>
      <c r="E10" s="120">
        <v>3.6</v>
      </c>
      <c r="F10" s="122">
        <v>5.2300981461286806</v>
      </c>
      <c r="G10" s="123">
        <v>15.2</v>
      </c>
      <c r="H10" s="124">
        <v>3519</v>
      </c>
      <c r="I10" s="117">
        <f t="shared" si="0"/>
        <v>5.340800437098757</v>
      </c>
      <c r="J10" s="98">
        <v>2378483</v>
      </c>
      <c r="K10" s="124">
        <v>3597</v>
      </c>
      <c r="L10" s="126">
        <v>2362519</v>
      </c>
      <c r="M10" s="78">
        <f t="shared" si="1"/>
        <v>5.2300981461286806</v>
      </c>
    </row>
    <row r="11" spans="1:13" ht="15.75" thickBot="1" x14ac:dyDescent="0.3">
      <c r="A11" s="119" t="s">
        <v>28</v>
      </c>
      <c r="B11" s="120">
        <v>6.9</v>
      </c>
      <c r="C11" s="121">
        <v>10.520724248357086</v>
      </c>
      <c r="D11" s="121">
        <v>20.2</v>
      </c>
      <c r="E11" s="120">
        <v>7.1</v>
      </c>
      <c r="F11" s="122">
        <v>10.375863322428208</v>
      </c>
      <c r="G11" s="123">
        <v>20.8</v>
      </c>
      <c r="H11" s="124">
        <v>6932</v>
      </c>
      <c r="I11" s="117">
        <f t="shared" si="0"/>
        <v>10.520724248357086</v>
      </c>
      <c r="J11" s="98">
        <v>3429014</v>
      </c>
      <c r="K11" s="124">
        <v>7136</v>
      </c>
      <c r="L11" s="126">
        <v>3429632</v>
      </c>
      <c r="M11" s="78">
        <f t="shared" si="1"/>
        <v>10.375863322428208</v>
      </c>
    </row>
    <row r="12" spans="1:13" ht="15.75" thickBot="1" x14ac:dyDescent="0.3">
      <c r="A12" s="119" t="s">
        <v>29</v>
      </c>
      <c r="B12" s="120">
        <v>10.5</v>
      </c>
      <c r="C12" s="121">
        <v>15.864560093490567</v>
      </c>
      <c r="D12" s="121">
        <v>19</v>
      </c>
      <c r="E12" s="120">
        <v>11.8</v>
      </c>
      <c r="F12" s="122">
        <v>17.08905852417303</v>
      </c>
      <c r="G12" s="123">
        <v>21.3</v>
      </c>
      <c r="H12" s="124">
        <v>10453</v>
      </c>
      <c r="I12" s="117">
        <f t="shared" si="0"/>
        <v>15.864560093490567</v>
      </c>
      <c r="J12" s="98">
        <v>5510612</v>
      </c>
      <c r="K12" s="124">
        <v>11753</v>
      </c>
      <c r="L12" s="126">
        <v>5510527</v>
      </c>
      <c r="M12" s="78">
        <f t="shared" si="1"/>
        <v>17.08905852417303</v>
      </c>
    </row>
    <row r="13" spans="1:13" ht="15.75" thickBot="1" x14ac:dyDescent="0.3">
      <c r="A13" s="119" t="s">
        <v>30</v>
      </c>
      <c r="B13" s="120">
        <v>1.8</v>
      </c>
      <c r="C13" s="121">
        <v>2.6559820303844344</v>
      </c>
      <c r="D13" s="121">
        <v>18.600000000000001</v>
      </c>
      <c r="E13" s="120">
        <v>1.7</v>
      </c>
      <c r="F13" s="122">
        <v>2.426753907669938</v>
      </c>
      <c r="G13" s="123">
        <v>17.8</v>
      </c>
      <c r="H13" s="124">
        <v>1750</v>
      </c>
      <c r="I13" s="117">
        <f t="shared" si="0"/>
        <v>2.6559820303844344</v>
      </c>
      <c r="J13" s="98">
        <v>942441</v>
      </c>
      <c r="K13" s="124">
        <v>1669</v>
      </c>
      <c r="L13" s="126">
        <v>936725</v>
      </c>
      <c r="M13" s="78">
        <f t="shared" si="1"/>
        <v>2.426753907669938</v>
      </c>
    </row>
    <row r="14" spans="1:13" ht="15.75" thickBot="1" x14ac:dyDescent="0.3">
      <c r="A14" s="119" t="s">
        <v>31</v>
      </c>
      <c r="B14" s="120">
        <v>4.5</v>
      </c>
      <c r="C14" s="121">
        <v>6.7583359893153645</v>
      </c>
      <c r="D14" s="121">
        <v>21.4</v>
      </c>
      <c r="E14" s="120">
        <v>4.5999999999999996</v>
      </c>
      <c r="F14" s="122">
        <v>6.6812068338785888</v>
      </c>
      <c r="G14" s="123">
        <v>22.2</v>
      </c>
      <c r="H14" s="124">
        <v>4453</v>
      </c>
      <c r="I14" s="117">
        <f t="shared" si="0"/>
        <v>6.7583359893153645</v>
      </c>
      <c r="J14" s="98">
        <v>2079098</v>
      </c>
      <c r="K14" s="124">
        <v>4595</v>
      </c>
      <c r="L14" s="126">
        <v>2071676</v>
      </c>
      <c r="M14" s="78">
        <f t="shared" si="1"/>
        <v>6.6812068338785888</v>
      </c>
    </row>
    <row r="15" spans="1:13" ht="15.75" thickBot="1" x14ac:dyDescent="0.3">
      <c r="A15" s="119" t="s">
        <v>32</v>
      </c>
      <c r="B15" s="120">
        <v>1.5</v>
      </c>
      <c r="C15" s="121">
        <v>2.2462019456965505</v>
      </c>
      <c r="D15" s="121">
        <v>12.9</v>
      </c>
      <c r="E15" s="120">
        <v>1.5</v>
      </c>
      <c r="F15" s="122">
        <v>2.1882951653944023</v>
      </c>
      <c r="G15" s="123">
        <v>13.2</v>
      </c>
      <c r="H15" s="124">
        <v>1480</v>
      </c>
      <c r="I15" s="117">
        <f t="shared" si="0"/>
        <v>2.2462019456965505</v>
      </c>
      <c r="J15" s="98">
        <v>1143355</v>
      </c>
      <c r="K15" s="124">
        <v>1505</v>
      </c>
      <c r="L15" s="126">
        <v>1138216</v>
      </c>
      <c r="M15" s="78">
        <f t="shared" si="1"/>
        <v>2.1882951653944023</v>
      </c>
    </row>
    <row r="16" spans="1:13" ht="15.75" thickBot="1" x14ac:dyDescent="0.3">
      <c r="A16" s="119" t="s">
        <v>33</v>
      </c>
      <c r="B16" s="120">
        <v>3.3</v>
      </c>
      <c r="C16" s="121">
        <v>5.0463658577304251</v>
      </c>
      <c r="D16" s="121">
        <v>14.1</v>
      </c>
      <c r="E16" s="120">
        <v>3.6</v>
      </c>
      <c r="F16" s="122">
        <v>5.1850236277717192</v>
      </c>
      <c r="G16" s="123">
        <v>15.1</v>
      </c>
      <c r="H16" s="124">
        <v>3325</v>
      </c>
      <c r="I16" s="117">
        <f t="shared" si="0"/>
        <v>5.0463658577304251</v>
      </c>
      <c r="J16" s="98">
        <v>2358307</v>
      </c>
      <c r="K16" s="124">
        <v>3566</v>
      </c>
      <c r="L16" s="126">
        <v>2359573</v>
      </c>
      <c r="M16" s="78">
        <f t="shared" si="1"/>
        <v>5.1850236277717192</v>
      </c>
    </row>
    <row r="17" spans="1:14" ht="15.75" thickBot="1" x14ac:dyDescent="0.3">
      <c r="A17" s="119" t="s">
        <v>34</v>
      </c>
      <c r="B17" s="120">
        <v>7.7</v>
      </c>
      <c r="C17" s="121">
        <v>11.637754405135912</v>
      </c>
      <c r="D17" s="121">
        <v>17.600000000000001</v>
      </c>
      <c r="E17" s="120">
        <v>8.5</v>
      </c>
      <c r="F17" s="122">
        <v>12.410032715376227</v>
      </c>
      <c r="G17" s="123">
        <v>19.8</v>
      </c>
      <c r="H17" s="124">
        <v>7668</v>
      </c>
      <c r="I17" s="117">
        <f t="shared" si="0"/>
        <v>11.637754405135912</v>
      </c>
      <c r="J17" s="98">
        <v>4346702</v>
      </c>
      <c r="K17" s="124">
        <v>8535</v>
      </c>
      <c r="L17" s="126">
        <v>4320130</v>
      </c>
      <c r="M17" s="78">
        <f t="shared" si="1"/>
        <v>12.410032715376227</v>
      </c>
    </row>
    <row r="18" spans="1:14" ht="15.75" thickBot="1" x14ac:dyDescent="0.3">
      <c r="A18" s="119" t="s">
        <v>35</v>
      </c>
      <c r="B18" s="120">
        <v>2.7</v>
      </c>
      <c r="C18" s="121">
        <v>4.0811061026878539</v>
      </c>
      <c r="D18" s="121">
        <v>22.8</v>
      </c>
      <c r="E18" s="120">
        <v>2.6</v>
      </c>
      <c r="F18" s="122">
        <v>3.7804434750999634</v>
      </c>
      <c r="G18" s="123">
        <v>22.3</v>
      </c>
      <c r="H18" s="124">
        <v>2689</v>
      </c>
      <c r="I18" s="117">
        <f t="shared" si="0"/>
        <v>4.0811061026878539</v>
      </c>
      <c r="J18" s="98">
        <v>1178164</v>
      </c>
      <c r="K18" s="124">
        <v>2600</v>
      </c>
      <c r="L18" s="126">
        <v>1168499</v>
      </c>
      <c r="M18" s="78">
        <f t="shared" si="1"/>
        <v>3.7804434750999634</v>
      </c>
      <c r="N18" s="42">
        <f>ROUND(K18/L18*10000,1)</f>
        <v>22.3</v>
      </c>
    </row>
    <row r="19" spans="1:14" ht="15.75" thickBot="1" x14ac:dyDescent="0.3">
      <c r="A19" s="119" t="s">
        <v>36</v>
      </c>
      <c r="B19" s="120">
        <v>1.8</v>
      </c>
      <c r="C19" s="121">
        <v>2.7637390156171744</v>
      </c>
      <c r="D19" s="121">
        <v>13.3</v>
      </c>
      <c r="E19" s="120">
        <v>1.7</v>
      </c>
      <c r="F19" s="122">
        <v>2.4747364594692836</v>
      </c>
      <c r="G19" s="123">
        <v>12.5</v>
      </c>
      <c r="H19" s="124">
        <v>1821</v>
      </c>
      <c r="I19" s="117">
        <f t="shared" si="0"/>
        <v>2.7637390156171744</v>
      </c>
      <c r="J19" s="98">
        <v>1366430</v>
      </c>
      <c r="K19" s="124">
        <v>1702</v>
      </c>
      <c r="L19" s="126">
        <v>1357910</v>
      </c>
      <c r="M19" s="78">
        <f t="shared" si="1"/>
        <v>2.4747364594692836</v>
      </c>
    </row>
    <row r="20" spans="1:14" ht="15.75" thickBot="1" x14ac:dyDescent="0.3">
      <c r="A20" s="119" t="s">
        <v>37</v>
      </c>
      <c r="B20" s="120">
        <v>5.7</v>
      </c>
      <c r="C20" s="121">
        <v>8.7101033556435823</v>
      </c>
      <c r="D20" s="121">
        <v>16.399999999999999</v>
      </c>
      <c r="E20" s="120">
        <v>6</v>
      </c>
      <c r="F20" s="122">
        <v>8.7430025445292614</v>
      </c>
      <c r="G20" s="123">
        <v>17.2</v>
      </c>
      <c r="H20" s="124">
        <v>5739</v>
      </c>
      <c r="I20" s="117">
        <f t="shared" si="0"/>
        <v>8.7101033556435823</v>
      </c>
      <c r="J20" s="98">
        <v>3493577</v>
      </c>
      <c r="K20" s="124">
        <v>6013</v>
      </c>
      <c r="L20" s="126">
        <v>3487973</v>
      </c>
      <c r="M20" s="78">
        <f t="shared" si="1"/>
        <v>8.7430025445292614</v>
      </c>
    </row>
    <row r="21" spans="1:14" ht="15.75" thickBot="1" x14ac:dyDescent="0.3">
      <c r="A21" s="127" t="s">
        <v>38</v>
      </c>
      <c r="B21" s="128">
        <v>2.7</v>
      </c>
      <c r="C21" s="129">
        <v>4.0917300308093916</v>
      </c>
      <c r="D21" s="129">
        <v>16.399999999999999</v>
      </c>
      <c r="E21" s="128">
        <v>2.7</v>
      </c>
      <c r="F21" s="122">
        <v>3.8880407124681939</v>
      </c>
      <c r="G21" s="123">
        <v>16.399999999999999</v>
      </c>
      <c r="H21" s="124">
        <v>2696</v>
      </c>
      <c r="I21" s="117">
        <f t="shared" si="0"/>
        <v>4.0917300308093916</v>
      </c>
      <c r="J21" s="98">
        <v>1640622</v>
      </c>
      <c r="K21" s="124">
        <v>2674</v>
      </c>
      <c r="L21" s="126">
        <v>1631784</v>
      </c>
      <c r="M21" s="78">
        <f t="shared" si="1"/>
        <v>3.8880407124681939</v>
      </c>
    </row>
  </sheetData>
  <mergeCells count="3">
    <mergeCell ref="A3:A4"/>
    <mergeCell ref="B3:D3"/>
    <mergeCell ref="E3:G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F22"/>
  <sheetViews>
    <sheetView tabSelected="1" topLeftCell="A19" zoomScale="95" zoomScaleNormal="95" workbookViewId="0">
      <selection activeCell="F33" sqref="F33"/>
    </sheetView>
  </sheetViews>
  <sheetFormatPr defaultColWidth="9.140625" defaultRowHeight="15" x14ac:dyDescent="0.25"/>
  <cols>
    <col min="1" max="1" width="17.5703125" style="4" customWidth="1"/>
    <col min="2" max="4" width="9.140625" style="4"/>
    <col min="5" max="5" width="9.85546875" style="4" customWidth="1"/>
    <col min="6" max="6" width="12.42578125" style="4" bestFit="1" customWidth="1"/>
    <col min="7" max="16384" width="9.140625" style="4"/>
  </cols>
  <sheetData>
    <row r="1" spans="1:6" x14ac:dyDescent="0.25">
      <c r="A1" s="4" t="s">
        <v>62</v>
      </c>
    </row>
    <row r="2" spans="1:6" x14ac:dyDescent="0.25">
      <c r="A2" s="4" t="s">
        <v>39</v>
      </c>
    </row>
    <row r="4" spans="1:6" ht="15.75" thickBot="1" x14ac:dyDescent="0.3">
      <c r="A4" s="50" t="s">
        <v>43</v>
      </c>
      <c r="B4" s="56">
        <v>2023</v>
      </c>
      <c r="C4" s="57"/>
      <c r="D4" s="10"/>
    </row>
    <row r="5" spans="1:6" ht="39" thickBot="1" x14ac:dyDescent="0.3">
      <c r="A5" s="51"/>
      <c r="B5" s="23" t="s">
        <v>40</v>
      </c>
      <c r="C5" s="58" t="s">
        <v>44</v>
      </c>
      <c r="D5" s="10">
        <v>2023</v>
      </c>
      <c r="E5" s="4" t="s">
        <v>51</v>
      </c>
    </row>
    <row r="6" spans="1:6" ht="16.5" thickTop="1" thickBot="1" x14ac:dyDescent="0.3">
      <c r="A6" s="24" t="s">
        <v>45</v>
      </c>
      <c r="B6" s="96">
        <v>68.8</v>
      </c>
      <c r="C6" s="15">
        <v>18.3</v>
      </c>
      <c r="D6" s="37"/>
      <c r="E6" s="68">
        <v>37636508</v>
      </c>
      <c r="F6" s="4">
        <f>ROUND(D6/E6*10000,1)</f>
        <v>0</v>
      </c>
    </row>
    <row r="7" spans="1:6" ht="15.75" thickBot="1" x14ac:dyDescent="0.3">
      <c r="A7" s="11" t="s">
        <v>24</v>
      </c>
      <c r="B7" s="19">
        <v>5.6</v>
      </c>
      <c r="C7" s="16">
        <v>19.5</v>
      </c>
      <c r="D7" s="38"/>
      <c r="E7" s="4">
        <v>2879271</v>
      </c>
      <c r="F7" s="4">
        <f t="shared" ref="F7:F22" si="0">ROUND(D7/E7*10000,1)</f>
        <v>0</v>
      </c>
    </row>
    <row r="8" spans="1:6" ht="15.75" thickBot="1" x14ac:dyDescent="0.3">
      <c r="A8" s="11" t="s">
        <v>42</v>
      </c>
      <c r="B8" s="19">
        <v>3.3</v>
      </c>
      <c r="C8" s="16">
        <v>16.8</v>
      </c>
      <c r="D8" s="38"/>
      <c r="E8" s="4">
        <v>1996003</v>
      </c>
      <c r="F8" s="4">
        <f t="shared" si="0"/>
        <v>0</v>
      </c>
    </row>
    <row r="9" spans="1:6" ht="15.75" thickBot="1" x14ac:dyDescent="0.3">
      <c r="A9" s="11" t="s">
        <v>25</v>
      </c>
      <c r="B9" s="19">
        <v>3.4</v>
      </c>
      <c r="C9" s="16">
        <v>16.7</v>
      </c>
      <c r="D9" s="38"/>
      <c r="E9" s="4">
        <v>2011047</v>
      </c>
      <c r="F9" s="4">
        <f t="shared" si="0"/>
        <v>0</v>
      </c>
    </row>
    <row r="10" spans="1:6" ht="15.75" thickBot="1" x14ac:dyDescent="0.3">
      <c r="A10" s="11" t="s">
        <v>26</v>
      </c>
      <c r="B10" s="19">
        <v>1.1000000000000001</v>
      </c>
      <c r="C10" s="16">
        <v>11.3</v>
      </c>
      <c r="D10" s="38"/>
      <c r="E10" s="4">
        <v>975023</v>
      </c>
      <c r="F10" s="4">
        <f t="shared" si="0"/>
        <v>0</v>
      </c>
    </row>
    <row r="11" spans="1:6" ht="15.75" thickBot="1" x14ac:dyDescent="0.3">
      <c r="A11" s="11" t="s">
        <v>27</v>
      </c>
      <c r="B11" s="19">
        <v>3.6</v>
      </c>
      <c r="C11" s="16">
        <v>15.2</v>
      </c>
      <c r="D11" s="38"/>
      <c r="E11" s="4">
        <v>2362519</v>
      </c>
      <c r="F11" s="4">
        <f t="shared" si="0"/>
        <v>0</v>
      </c>
    </row>
    <row r="12" spans="1:6" ht="15.75" thickBot="1" x14ac:dyDescent="0.3">
      <c r="A12" s="11" t="s">
        <v>28</v>
      </c>
      <c r="B12" s="19">
        <v>7.1</v>
      </c>
      <c r="C12" s="16">
        <v>20.8</v>
      </c>
      <c r="D12" s="38"/>
      <c r="E12" s="4">
        <v>3429632</v>
      </c>
      <c r="F12" s="4">
        <f t="shared" si="0"/>
        <v>0</v>
      </c>
    </row>
    <row r="13" spans="1:6" ht="15.75" thickBot="1" x14ac:dyDescent="0.3">
      <c r="A13" s="11" t="s">
        <v>29</v>
      </c>
      <c r="B13" s="19">
        <v>11.8</v>
      </c>
      <c r="C13" s="16">
        <v>21.3</v>
      </c>
      <c r="D13" s="38"/>
      <c r="E13" s="4">
        <v>5510527</v>
      </c>
      <c r="F13" s="4">
        <f t="shared" si="0"/>
        <v>0</v>
      </c>
    </row>
    <row r="14" spans="1:6" ht="15.75" thickBot="1" x14ac:dyDescent="0.3">
      <c r="A14" s="11" t="s">
        <v>30</v>
      </c>
      <c r="B14" s="19">
        <v>1.7</v>
      </c>
      <c r="C14" s="16">
        <v>17.8</v>
      </c>
      <c r="D14" s="38"/>
      <c r="E14" s="4">
        <v>936725</v>
      </c>
      <c r="F14" s="4">
        <f t="shared" si="0"/>
        <v>0</v>
      </c>
    </row>
    <row r="15" spans="1:6" ht="15.75" thickBot="1" x14ac:dyDescent="0.3">
      <c r="A15" s="11" t="s">
        <v>31</v>
      </c>
      <c r="B15" s="19">
        <v>4.5999999999999996</v>
      </c>
      <c r="C15" s="16">
        <v>22.2</v>
      </c>
      <c r="D15" s="38"/>
      <c r="E15" s="4">
        <v>2071676</v>
      </c>
      <c r="F15" s="4">
        <f t="shared" si="0"/>
        <v>0</v>
      </c>
    </row>
    <row r="16" spans="1:6" ht="15.75" thickBot="1" x14ac:dyDescent="0.3">
      <c r="A16" s="11" t="s">
        <v>32</v>
      </c>
      <c r="B16" s="19">
        <v>1.5</v>
      </c>
      <c r="C16" s="16">
        <v>13.2</v>
      </c>
      <c r="D16" s="38"/>
      <c r="E16" s="4">
        <v>1138216</v>
      </c>
      <c r="F16" s="4">
        <f t="shared" si="0"/>
        <v>0</v>
      </c>
    </row>
    <row r="17" spans="1:6" ht="15.75" thickBot="1" x14ac:dyDescent="0.3">
      <c r="A17" s="11" t="s">
        <v>33</v>
      </c>
      <c r="B17" s="19">
        <v>3.6</v>
      </c>
      <c r="C17" s="16">
        <v>15.1</v>
      </c>
      <c r="D17" s="38"/>
      <c r="E17" s="4">
        <v>2359573</v>
      </c>
      <c r="F17" s="4">
        <f t="shared" si="0"/>
        <v>0</v>
      </c>
    </row>
    <row r="18" spans="1:6" ht="15.75" thickBot="1" x14ac:dyDescent="0.3">
      <c r="A18" s="11" t="s">
        <v>34</v>
      </c>
      <c r="B18" s="19">
        <v>8.5</v>
      </c>
      <c r="C18" s="16">
        <v>19.8</v>
      </c>
      <c r="D18" s="38"/>
      <c r="E18" s="4">
        <v>4320130</v>
      </c>
      <c r="F18" s="4">
        <f t="shared" si="0"/>
        <v>0</v>
      </c>
    </row>
    <row r="19" spans="1:6" ht="15.75" thickBot="1" x14ac:dyDescent="0.3">
      <c r="A19" s="11" t="s">
        <v>35</v>
      </c>
      <c r="B19" s="19">
        <v>2.6</v>
      </c>
      <c r="C19" s="16">
        <v>22.3</v>
      </c>
      <c r="D19" s="38"/>
      <c r="E19" s="4">
        <v>1168499</v>
      </c>
      <c r="F19" s="4">
        <f t="shared" si="0"/>
        <v>0</v>
      </c>
    </row>
    <row r="20" spans="1:6" ht="15.75" thickBot="1" x14ac:dyDescent="0.3">
      <c r="A20" s="11" t="s">
        <v>36</v>
      </c>
      <c r="B20" s="19">
        <v>1.7</v>
      </c>
      <c r="C20" s="16">
        <v>12.5</v>
      </c>
      <c r="D20" s="38"/>
      <c r="E20" s="4">
        <v>1357910</v>
      </c>
      <c r="F20" s="4">
        <f t="shared" si="0"/>
        <v>0</v>
      </c>
    </row>
    <row r="21" spans="1:6" ht="15.75" thickBot="1" x14ac:dyDescent="0.3">
      <c r="A21" s="11" t="s">
        <v>37</v>
      </c>
      <c r="B21" s="19">
        <v>6</v>
      </c>
      <c r="C21" s="16">
        <v>17.2</v>
      </c>
      <c r="D21" s="38"/>
      <c r="E21" s="4">
        <v>3487973</v>
      </c>
      <c r="F21" s="4">
        <f t="shared" si="0"/>
        <v>0</v>
      </c>
    </row>
    <row r="22" spans="1:6" ht="15.75" thickBot="1" x14ac:dyDescent="0.3">
      <c r="A22" s="13" t="s">
        <v>38</v>
      </c>
      <c r="B22" s="20">
        <v>2.7</v>
      </c>
      <c r="C22" s="16">
        <v>16.399999999999999</v>
      </c>
      <c r="D22" s="39"/>
      <c r="E22" s="4">
        <v>1631784</v>
      </c>
      <c r="F22" s="4">
        <f t="shared" si="0"/>
        <v>0</v>
      </c>
    </row>
  </sheetData>
  <mergeCells count="2">
    <mergeCell ref="A4:A5"/>
    <mergeCell ref="B4:C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FF83991E4BDC4E4FA0720441E2B88E6D" ma:contentTypeVersion="" ma:contentTypeDescription="" ma:contentTypeScope="" ma:versionID="4c085abc070ecd47269a6e547f595e09">
  <xsd:schema xmlns:xsd="http://www.w3.org/2001/XMLSchema" xmlns:xs="http://www.w3.org/2001/XMLSchema" xmlns:p="http://schemas.microsoft.com/office/2006/metadata/properties" xmlns:ns1="http://schemas.microsoft.com/sharepoint/v3" xmlns:ns2="1E9983FF-DC4B-4F4E-A072-0441E2B88E6D" targetNamespace="http://schemas.microsoft.com/office/2006/metadata/properties" ma:root="true" ma:fieldsID="261bc03da8b64877da0abdcd3971ff14" ns1:_="" ns2:_="">
    <xsd:import namespace="http://schemas.microsoft.com/sharepoint/v3"/>
    <xsd:import namespace="1E9983FF-DC4B-4F4E-A072-0441E2B88E6D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983FF-DC4B-4F4E-A072-0441E2B88E6D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0x00FF83991E4BDC4E4FA0720441E2B88E6D</ContentTypeId>
    <TemplateUrl xmlns="http://schemas.microsoft.com/sharepoint/v3" xsi:nil="true"/>
    <NazwaPliku xmlns="1E9983FF-DC4B-4F4E-A072-0441E2B88E6D">mapy, tablice i wykresy.XLSX.XLSX</NazwaPliku>
    <Odbiorcy2 xmlns="1E9983FF-DC4B-4F4E-A072-0441E2B88E6D" xsi:nil="true"/>
    <_SourceUrl xmlns="http://schemas.microsoft.com/sharepoint/v3" xsi:nil="true"/>
    <xd_ProgID xmlns="http://schemas.microsoft.com/sharepoint/v3" xsi:nil="true"/>
    <Osoba xmlns="1E9983FF-DC4B-4F4E-A072-0441E2B88E6D">STAT\ZYRAM</Osoba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0FA470-6E35-4915-9D8C-7F3220E3FB5D}"/>
</file>

<file path=customXml/itemProps2.xml><?xml version="1.0" encoding="utf-8"?>
<ds:datastoreItem xmlns:ds="http://schemas.openxmlformats.org/officeDocument/2006/customXml" ds:itemID="{E44B5693-EAFE-4AA8-85C3-A3FAF2BAFB4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wykres 1</vt:lpstr>
      <vt:lpstr>Tablica 3</vt:lpstr>
      <vt:lpstr>mapa 1</vt:lpstr>
      <vt:lpstr>tablica 4</vt:lpstr>
      <vt:lpstr>wykres 2</vt:lpstr>
      <vt:lpstr>Tablica 7</vt:lpstr>
      <vt:lpstr>mapa 2</vt:lpstr>
      <vt:lpstr>wykres 3</vt:lpstr>
      <vt:lpstr>Tablica 10</vt:lpstr>
      <vt:lpstr>mapa 3</vt:lpstr>
      <vt:lpstr>wykres 4</vt:lpstr>
      <vt:lpstr>Tablica 12</vt:lpstr>
      <vt:lpstr>mapa 4</vt:lpstr>
      <vt:lpstr>wykres 5</vt:lpstr>
      <vt:lpstr>Tablica 15</vt:lpstr>
      <vt:lpstr>mapa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Zasoby kadrowe w wybranych zawodach medycznych na podstawie źródeł administracyjnych w 2023 roku</dc:title>
  <dcterms:created xsi:type="dcterms:W3CDTF">2022-04-12T16:49:20Z</dcterms:created>
  <dcterms:modified xsi:type="dcterms:W3CDTF">2024-09-25T07:00:22Z</dcterms:modified>
  <cp:category>Zdrowie</cp:category>
</cp:coreProperties>
</file>